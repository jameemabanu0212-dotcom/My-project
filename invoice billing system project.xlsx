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C:\Users\Administrator\Documents\"/>
    </mc:Choice>
  </mc:AlternateContent>
  <xr:revisionPtr revIDLastSave="0" documentId="8_{96CEF569-5CCA-4375-911A-6A26B369AED5}" xr6:coauthVersionLast="47" xr6:coauthVersionMax="47" xr10:uidLastSave="{00000000-0000-0000-0000-000000000000}"/>
  <bookViews>
    <workbookView xWindow="-108" yWindow="-108" windowWidth="23256" windowHeight="12456" activeTab="3" xr2:uid="{00000000-000D-0000-FFFF-FFFF00000000}"/>
  </bookViews>
  <sheets>
    <sheet name="formula" sheetId="9" r:id="rId1"/>
    <sheet name="CONCLUSION" sheetId="13" r:id="rId2"/>
    <sheet name="pivot table" sheetId="10" r:id="rId3"/>
    <sheet name="dashboard" sheetId="12" r:id="rId4"/>
    <sheet name="Invoice Billing" sheetId="1" r:id="rId5"/>
    <sheet name="CUSTOMER MASTER" sheetId="3" r:id="rId6"/>
    <sheet name="SALES SUMMARY" sheetId="4" r:id="rId7"/>
    <sheet name="product master" sheetId="2" r:id="rId8"/>
  </sheets>
  <definedNames>
    <definedName name="Slicer_Amount">#N/A</definedName>
    <definedName name="Slicer_GST">#N/A</definedName>
    <definedName name="Slicer_GST_Amount">#N/A</definedName>
    <definedName name="Slicer_Product_Name">#N/A</definedName>
    <definedName name="Slicer_Rate">#N/A</definedName>
    <definedName name="Slicer_Total_Amount">#N/A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 r:id="rId13"/>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3" i="9" l="1"/>
  <c r="B2" i="4"/>
  <c r="B4" i="9"/>
  <c r="B3" i="9"/>
  <c r="C8" i="9"/>
  <c r="C2" i="9"/>
  <c r="K143" i="1"/>
  <c r="K144" i="1"/>
  <c r="K145" i="1"/>
  <c r="K146" i="1"/>
  <c r="K147" i="1"/>
  <c r="K148" i="1"/>
  <c r="K149" i="1"/>
  <c r="K150" i="1"/>
  <c r="K151" i="1"/>
  <c r="B7" i="4"/>
  <c r="B5" i="4"/>
  <c r="B4" i="4"/>
  <c r="B3" i="4"/>
  <c r="K2" i="1"/>
  <c r="J6" i="1"/>
  <c r="J5" i="1"/>
  <c r="J4" i="1"/>
  <c r="J3" i="1"/>
  <c r="J2" i="1"/>
  <c r="H2" i="1"/>
  <c r="H151" i="1"/>
  <c r="H150" i="1"/>
  <c r="H149" i="1"/>
  <c r="H148" i="1"/>
  <c r="H147" i="1"/>
  <c r="H146" i="1"/>
  <c r="H145" i="1"/>
  <c r="H144" i="1"/>
  <c r="H143" i="1"/>
  <c r="H142" i="1"/>
  <c r="H141" i="1"/>
  <c r="H140" i="1"/>
  <c r="H139" i="1"/>
  <c r="H138" i="1"/>
  <c r="H137" i="1"/>
  <c r="H136" i="1"/>
  <c r="H135" i="1"/>
  <c r="H134" i="1"/>
  <c r="J133" i="1"/>
  <c r="H133" i="1"/>
  <c r="H132" i="1"/>
  <c r="H131" i="1"/>
  <c r="H130" i="1"/>
  <c r="H129" i="1"/>
  <c r="H128" i="1"/>
  <c r="H127" i="1"/>
  <c r="H126" i="1"/>
  <c r="H125" i="1"/>
  <c r="H124" i="1"/>
  <c r="H123" i="1"/>
  <c r="H122" i="1"/>
  <c r="H121" i="1"/>
  <c r="H120" i="1"/>
  <c r="H119" i="1"/>
  <c r="H118" i="1"/>
  <c r="H117" i="1"/>
  <c r="H116" i="1"/>
  <c r="H115" i="1"/>
  <c r="H114" i="1"/>
  <c r="H113" i="1"/>
  <c r="H112" i="1"/>
  <c r="H111" i="1"/>
  <c r="H110" i="1"/>
  <c r="H109" i="1"/>
  <c r="H108" i="1"/>
  <c r="H107" i="1"/>
  <c r="H106" i="1"/>
  <c r="H105" i="1"/>
  <c r="H104" i="1"/>
  <c r="H103" i="1"/>
  <c r="H102" i="1"/>
  <c r="H101" i="1"/>
  <c r="H100" i="1"/>
  <c r="H99" i="1"/>
  <c r="H98" i="1"/>
  <c r="H97" i="1"/>
  <c r="H96" i="1"/>
  <c r="H95" i="1"/>
  <c r="H94" i="1"/>
  <c r="H93" i="1"/>
  <c r="H92" i="1"/>
  <c r="H91" i="1"/>
  <c r="H90" i="1"/>
  <c r="H89" i="1"/>
  <c r="H88" i="1"/>
  <c r="H87" i="1"/>
  <c r="H86" i="1"/>
  <c r="H85" i="1"/>
  <c r="H84" i="1"/>
  <c r="H83" i="1"/>
  <c r="H82" i="1"/>
  <c r="H81" i="1"/>
  <c r="H80" i="1"/>
  <c r="H79" i="1"/>
  <c r="H78" i="1"/>
  <c r="H77" i="1"/>
  <c r="H76" i="1"/>
  <c r="H75" i="1"/>
  <c r="H74" i="1"/>
  <c r="H73" i="1"/>
  <c r="H72" i="1"/>
  <c r="H71" i="1"/>
  <c r="H70" i="1"/>
  <c r="H69" i="1"/>
  <c r="H68" i="1"/>
  <c r="H67" i="1"/>
  <c r="H66" i="1"/>
  <c r="H65" i="1"/>
  <c r="H64" i="1"/>
  <c r="H63" i="1"/>
  <c r="H62" i="1"/>
  <c r="H61" i="1"/>
  <c r="H60" i="1"/>
  <c r="H59" i="1"/>
  <c r="H58" i="1"/>
  <c r="H57" i="1"/>
  <c r="H56" i="1"/>
  <c r="H55" i="1"/>
  <c r="H54" i="1"/>
  <c r="H53" i="1"/>
  <c r="H52" i="1"/>
  <c r="H51" i="1"/>
  <c r="H50" i="1"/>
  <c r="H49" i="1"/>
  <c r="H48" i="1"/>
  <c r="H47" i="1"/>
  <c r="H46" i="1"/>
  <c r="H45" i="1"/>
  <c r="H44" i="1"/>
  <c r="H43" i="1"/>
  <c r="H42" i="1"/>
  <c r="H41" i="1"/>
  <c r="H40" i="1"/>
  <c r="H39" i="1"/>
  <c r="H38" i="1"/>
  <c r="H37" i="1"/>
  <c r="H36" i="1"/>
  <c r="H35" i="1"/>
  <c r="H34" i="1"/>
  <c r="H33" i="1"/>
  <c r="H32" i="1"/>
  <c r="H31" i="1"/>
  <c r="H30" i="1"/>
  <c r="H29" i="1"/>
  <c r="H28" i="1"/>
  <c r="H27" i="1"/>
  <c r="H26" i="1"/>
  <c r="H25" i="1"/>
  <c r="H24" i="1"/>
  <c r="H23" i="1"/>
  <c r="H22" i="1"/>
  <c r="H21" i="1"/>
  <c r="H20" i="1"/>
  <c r="H19" i="1"/>
  <c r="H18" i="1"/>
  <c r="H17" i="1"/>
  <c r="H16" i="1"/>
  <c r="H15" i="1"/>
  <c r="H14" i="1"/>
  <c r="H13" i="1"/>
  <c r="H12" i="1"/>
  <c r="H11" i="1"/>
  <c r="H10" i="1"/>
  <c r="H9" i="1"/>
  <c r="H8" i="1"/>
  <c r="H7" i="1"/>
  <c r="H6" i="1"/>
  <c r="H5" i="1"/>
  <c r="H4" i="1"/>
  <c r="H3" i="1"/>
  <c r="B6" i="4" l="1"/>
  <c r="J58" i="1"/>
  <c r="J151" i="1"/>
  <c r="J150" i="1"/>
  <c r="J149" i="1"/>
  <c r="J148" i="1"/>
  <c r="J147" i="1"/>
  <c r="J146" i="1"/>
  <c r="J145" i="1"/>
  <c r="J144" i="1"/>
  <c r="J143" i="1"/>
  <c r="J142" i="1"/>
  <c r="J141" i="1"/>
  <c r="J140" i="1"/>
  <c r="J139" i="1"/>
  <c r="J138" i="1"/>
  <c r="J137" i="1"/>
  <c r="J136" i="1"/>
  <c r="J135" i="1"/>
  <c r="J134" i="1"/>
  <c r="K133" i="1"/>
  <c r="J132" i="1"/>
  <c r="J131" i="1"/>
  <c r="J130" i="1"/>
  <c r="J129" i="1"/>
  <c r="J128" i="1"/>
  <c r="J127" i="1"/>
  <c r="J126" i="1"/>
  <c r="J125" i="1"/>
  <c r="J124" i="1"/>
  <c r="J123" i="1"/>
  <c r="J122" i="1"/>
  <c r="J121" i="1"/>
  <c r="J120" i="1"/>
  <c r="J119" i="1"/>
  <c r="J118" i="1"/>
  <c r="J117" i="1"/>
  <c r="J116" i="1"/>
  <c r="J115" i="1"/>
  <c r="J92" i="1"/>
  <c r="J89" i="1"/>
  <c r="J87" i="1"/>
  <c r="J86" i="1"/>
  <c r="J80" i="1"/>
  <c r="J76" i="1"/>
  <c r="J75" i="1"/>
  <c r="J74" i="1"/>
  <c r="J69" i="1"/>
  <c r="J68" i="1"/>
  <c r="J67" i="1"/>
  <c r="J7" i="1"/>
  <c r="J114" i="1"/>
  <c r="K114" i="1" s="1"/>
  <c r="J113" i="1"/>
  <c r="J112" i="1"/>
  <c r="J111" i="1"/>
  <c r="J110" i="1"/>
  <c r="J109" i="1"/>
  <c r="J108" i="1"/>
  <c r="J107" i="1"/>
  <c r="J106" i="1"/>
  <c r="J105" i="1"/>
  <c r="J104" i="1"/>
  <c r="J103" i="1"/>
  <c r="J102" i="1"/>
  <c r="J101" i="1"/>
  <c r="J100" i="1"/>
  <c r="J99" i="1"/>
  <c r="J98" i="1"/>
  <c r="J97" i="1"/>
  <c r="J96" i="1"/>
  <c r="J95" i="1"/>
  <c r="J94" i="1"/>
  <c r="K94" i="1" s="1"/>
  <c r="J93" i="1"/>
  <c r="K92" i="1"/>
  <c r="J91" i="1"/>
  <c r="J88" i="1"/>
  <c r="J85" i="1"/>
  <c r="J81" i="1"/>
  <c r="K80" i="1"/>
  <c r="J79" i="1"/>
  <c r="J78" i="1"/>
  <c r="J73" i="1"/>
  <c r="J72" i="1"/>
  <c r="J71" i="1"/>
  <c r="J70" i="1"/>
  <c r="K69" i="1"/>
  <c r="J66" i="1"/>
  <c r="J59" i="1"/>
  <c r="J16" i="1"/>
  <c r="J15" i="1"/>
  <c r="J14" i="1"/>
  <c r="J13" i="1"/>
  <c r="K13" i="1" s="1"/>
  <c r="J9" i="1"/>
  <c r="J8" i="1"/>
  <c r="J90" i="1"/>
  <c r="K89" i="1"/>
  <c r="J84" i="1"/>
  <c r="J83" i="1"/>
  <c r="J82" i="1"/>
  <c r="K81" i="1"/>
  <c r="J77" i="1"/>
  <c r="K74" i="1"/>
  <c r="K72" i="1"/>
  <c r="K71" i="1"/>
  <c r="K70" i="1"/>
  <c r="K67" i="1"/>
  <c r="J65" i="1"/>
  <c r="J64" i="1"/>
  <c r="J63" i="1"/>
  <c r="J62" i="1"/>
  <c r="J61" i="1"/>
  <c r="J60" i="1"/>
  <c r="K59" i="1"/>
  <c r="J12" i="1"/>
  <c r="J11" i="1"/>
  <c r="K7" i="1"/>
  <c r="J57" i="1"/>
  <c r="J56" i="1"/>
  <c r="J55" i="1"/>
  <c r="J54" i="1"/>
  <c r="J53" i="1"/>
  <c r="J52" i="1"/>
  <c r="J51" i="1"/>
  <c r="J50" i="1"/>
  <c r="J49" i="1"/>
  <c r="J48" i="1"/>
  <c r="J47" i="1"/>
  <c r="J46" i="1"/>
  <c r="J45" i="1"/>
  <c r="J44" i="1"/>
  <c r="J43" i="1"/>
  <c r="J42" i="1"/>
  <c r="J41" i="1"/>
  <c r="J40" i="1"/>
  <c r="J39" i="1"/>
  <c r="J38" i="1"/>
  <c r="J37" i="1"/>
  <c r="J36" i="1"/>
  <c r="J35" i="1"/>
  <c r="J34" i="1"/>
  <c r="J33" i="1"/>
  <c r="J32" i="1"/>
  <c r="J31" i="1"/>
  <c r="J30" i="1"/>
  <c r="J29" i="1"/>
  <c r="J28" i="1"/>
  <c r="J27" i="1"/>
  <c r="J26" i="1"/>
  <c r="J25" i="1"/>
  <c r="J24" i="1"/>
  <c r="J23" i="1"/>
  <c r="J22" i="1"/>
  <c r="J21" i="1"/>
  <c r="J20" i="1"/>
  <c r="J19" i="1"/>
  <c r="J18" i="1"/>
  <c r="J17" i="1"/>
  <c r="J10" i="1"/>
  <c r="K4" i="1"/>
  <c r="K88" i="1" l="1"/>
  <c r="K31" i="1"/>
  <c r="K115" i="1"/>
  <c r="K58" i="1"/>
  <c r="K10" i="1"/>
  <c r="K3" i="1"/>
  <c r="K132" i="1"/>
  <c r="K131" i="1"/>
  <c r="K130" i="1"/>
  <c r="K129" i="1"/>
  <c r="K128" i="1"/>
  <c r="K127" i="1"/>
  <c r="K126" i="1"/>
  <c r="K125" i="1"/>
  <c r="K124" i="1"/>
  <c r="K123" i="1"/>
  <c r="K122" i="1"/>
  <c r="K121" i="1"/>
  <c r="K120" i="1"/>
  <c r="K119" i="1"/>
  <c r="K118" i="1"/>
  <c r="K117" i="1"/>
  <c r="K116" i="1"/>
  <c r="K109" i="1"/>
  <c r="K108" i="1"/>
  <c r="K107" i="1"/>
  <c r="K106" i="1"/>
  <c r="K105" i="1"/>
  <c r="K102" i="1"/>
  <c r="K99" i="1"/>
  <c r="K97" i="1"/>
  <c r="K82" i="1"/>
  <c r="K65" i="1"/>
  <c r="K11" i="1"/>
  <c r="K61" i="1"/>
  <c r="K55" i="1"/>
  <c r="K47" i="1"/>
  <c r="K46" i="1"/>
  <c r="K45" i="1"/>
  <c r="K41" i="1"/>
  <c r="K40" i="1"/>
  <c r="K39" i="1"/>
  <c r="K35" i="1"/>
  <c r="K34" i="1"/>
  <c r="K33" i="1"/>
  <c r="K91" i="1"/>
  <c r="K86" i="1"/>
  <c r="K85" i="1"/>
  <c r="K83" i="1"/>
  <c r="K79" i="1"/>
  <c r="K78" i="1"/>
  <c r="K75" i="1"/>
  <c r="K73" i="1"/>
  <c r="K68" i="1"/>
  <c r="K66" i="1"/>
  <c r="K64" i="1"/>
  <c r="K62" i="1"/>
  <c r="K60" i="1"/>
  <c r="K113" i="1"/>
  <c r="K112" i="1"/>
  <c r="K111" i="1"/>
  <c r="K104" i="1"/>
  <c r="K103" i="1"/>
  <c r="K101" i="1"/>
  <c r="K100" i="1"/>
  <c r="K98" i="1"/>
  <c r="K96" i="1"/>
  <c r="K95" i="1"/>
  <c r="K93" i="1"/>
  <c r="K84" i="1"/>
  <c r="K77" i="1"/>
  <c r="K54" i="1"/>
  <c r="K48" i="1"/>
  <c r="K43" i="1"/>
  <c r="K42" i="1"/>
  <c r="K110" i="1"/>
  <c r="K87" i="1"/>
  <c r="K76" i="1"/>
  <c r="K49" i="1"/>
  <c r="K30" i="1"/>
  <c r="K29" i="1"/>
  <c r="K28" i="1"/>
  <c r="K27" i="1"/>
  <c r="K26" i="1"/>
  <c r="K25" i="1"/>
  <c r="K24" i="1"/>
  <c r="K23" i="1"/>
  <c r="K22" i="1"/>
  <c r="K21" i="1"/>
  <c r="K20" i="1"/>
  <c r="K19" i="1"/>
  <c r="K18" i="1"/>
  <c r="K17" i="1"/>
  <c r="K16" i="1"/>
  <c r="K15" i="1"/>
  <c r="K14" i="1"/>
  <c r="K9" i="1"/>
  <c r="K8" i="1"/>
  <c r="K6" i="1"/>
  <c r="K5" i="1"/>
  <c r="K142" i="1"/>
  <c r="K141" i="1"/>
  <c r="K140" i="1"/>
  <c r="K139" i="1"/>
  <c r="K138" i="1"/>
  <c r="K137" i="1"/>
  <c r="K136" i="1"/>
  <c r="K135" i="1"/>
  <c r="K134" i="1"/>
  <c r="K12" i="1"/>
  <c r="K90" i="1"/>
  <c r="K63" i="1"/>
  <c r="K57" i="1"/>
  <c r="K56" i="1"/>
  <c r="K53" i="1"/>
  <c r="K52" i="1"/>
  <c r="K51" i="1"/>
  <c r="K50" i="1"/>
  <c r="K44" i="1"/>
  <c r="K38" i="1"/>
  <c r="K37" i="1"/>
  <c r="K36" i="1"/>
  <c r="K32" i="1"/>
</calcChain>
</file>

<file path=xl/sharedStrings.xml><?xml version="1.0" encoding="utf-8"?>
<sst xmlns="http://schemas.openxmlformats.org/spreadsheetml/2006/main" count="849" uniqueCount="370">
  <si>
    <t>Invoice No</t>
  </si>
  <si>
    <t>Date</t>
  </si>
  <si>
    <t>Customer Name</t>
  </si>
  <si>
    <t>Mobile No</t>
  </si>
  <si>
    <t>Product Name</t>
  </si>
  <si>
    <t>Quantity</t>
  </si>
  <si>
    <t>Rate</t>
  </si>
  <si>
    <t>Amount</t>
  </si>
  <si>
    <t>GST %</t>
  </si>
  <si>
    <t>GST Amount</t>
  </si>
  <si>
    <t>Total Amount</t>
  </si>
  <si>
    <t>Payment Status</t>
  </si>
  <si>
    <t>INV-0001</t>
  </si>
  <si>
    <t>Arun Traders</t>
  </si>
  <si>
    <t>9876510001</t>
  </si>
  <si>
    <t>Laptop</t>
  </si>
  <si>
    <t>Paid</t>
  </si>
  <si>
    <t>INV-0002</t>
  </si>
  <si>
    <t>Kumar Traders</t>
  </si>
  <si>
    <t>9876510002</t>
  </si>
  <si>
    <t>Mobile</t>
  </si>
  <si>
    <t>INV-0003</t>
  </si>
  <si>
    <t>Priya Traders</t>
  </si>
  <si>
    <t>9876510003</t>
  </si>
  <si>
    <t>Printer</t>
  </si>
  <si>
    <t>INV-0004</t>
  </si>
  <si>
    <t>Ravi Traders</t>
  </si>
  <si>
    <t>9876510004</t>
  </si>
  <si>
    <t>Keyboard</t>
  </si>
  <si>
    <t>INV-0005</t>
  </si>
  <si>
    <t>Suresh Traders</t>
  </si>
  <si>
    <t>9876510005</t>
  </si>
  <si>
    <t>Mouse</t>
  </si>
  <si>
    <t>INV-0006</t>
  </si>
  <si>
    <t>Anitha Traders</t>
  </si>
  <si>
    <t>9876510006</t>
  </si>
  <si>
    <t>Monitor</t>
  </si>
  <si>
    <t>INV-0007</t>
  </si>
  <si>
    <t>9876510007</t>
  </si>
  <si>
    <t>INV-0008</t>
  </si>
  <si>
    <t>9876510008</t>
  </si>
  <si>
    <t>INV-0009</t>
  </si>
  <si>
    <t>9876510009</t>
  </si>
  <si>
    <t>INV-0010</t>
  </si>
  <si>
    <t>9876510010</t>
  </si>
  <si>
    <t>INV-0011</t>
  </si>
  <si>
    <t>9876510011</t>
  </si>
  <si>
    <t>INV-0012</t>
  </si>
  <si>
    <t>9876510012</t>
  </si>
  <si>
    <t>INV-0013</t>
  </si>
  <si>
    <t>9876510013</t>
  </si>
  <si>
    <t>INV-0014</t>
  </si>
  <si>
    <t>9876510014</t>
  </si>
  <si>
    <t>INV-0015</t>
  </si>
  <si>
    <t>9876510015</t>
  </si>
  <si>
    <t>INV-0016</t>
  </si>
  <si>
    <t>9876510016</t>
  </si>
  <si>
    <t>INV-0017</t>
  </si>
  <si>
    <t>9876510017</t>
  </si>
  <si>
    <t>INV-0018</t>
  </si>
  <si>
    <t>9876510018</t>
  </si>
  <si>
    <t>INV-0019</t>
  </si>
  <si>
    <t>9876510019</t>
  </si>
  <si>
    <t>INV-0020</t>
  </si>
  <si>
    <t>9876510020</t>
  </si>
  <si>
    <t>INV-0021</t>
  </si>
  <si>
    <t>9876510021</t>
  </si>
  <si>
    <t>INV-0022</t>
  </si>
  <si>
    <t>9876510022</t>
  </si>
  <si>
    <t>INV-0023</t>
  </si>
  <si>
    <t>9876510023</t>
  </si>
  <si>
    <t>INV-0024</t>
  </si>
  <si>
    <t>9876510024</t>
  </si>
  <si>
    <t>INV-0025</t>
  </si>
  <si>
    <t>9876510025</t>
  </si>
  <si>
    <t>INV-0026</t>
  </si>
  <si>
    <t>9876510026</t>
  </si>
  <si>
    <t>INV-0027</t>
  </si>
  <si>
    <t>9876510027</t>
  </si>
  <si>
    <t>INV-0028</t>
  </si>
  <si>
    <t>9876510028</t>
  </si>
  <si>
    <t>INV-0029</t>
  </si>
  <si>
    <t>9876510029</t>
  </si>
  <si>
    <t>INV-0030</t>
  </si>
  <si>
    <t>9876510030</t>
  </si>
  <si>
    <t>INV-0031</t>
  </si>
  <si>
    <t>9876510031</t>
  </si>
  <si>
    <t>INV-0032</t>
  </si>
  <si>
    <t>9876510032</t>
  </si>
  <si>
    <t>INV-0033</t>
  </si>
  <si>
    <t>9876510033</t>
  </si>
  <si>
    <t>INV-0034</t>
  </si>
  <si>
    <t>9876510034</t>
  </si>
  <si>
    <t>INV-0035</t>
  </si>
  <si>
    <t>9876510035</t>
  </si>
  <si>
    <t>INV-0036</t>
  </si>
  <si>
    <t>9876510036</t>
  </si>
  <si>
    <t>INV-0037</t>
  </si>
  <si>
    <t>9876510037</t>
  </si>
  <si>
    <t>INV-0038</t>
  </si>
  <si>
    <t>9876510038</t>
  </si>
  <si>
    <t>INV-0039</t>
  </si>
  <si>
    <t>9876510039</t>
  </si>
  <si>
    <t>INV-0040</t>
  </si>
  <si>
    <t>9876510040</t>
  </si>
  <si>
    <t>INV-0041</t>
  </si>
  <si>
    <t>9876510041</t>
  </si>
  <si>
    <t>INV-0042</t>
  </si>
  <si>
    <t>9876510042</t>
  </si>
  <si>
    <t>INV-0043</t>
  </si>
  <si>
    <t>9876510043</t>
  </si>
  <si>
    <t>INV-0044</t>
  </si>
  <si>
    <t>9876510044</t>
  </si>
  <si>
    <t>INV-0045</t>
  </si>
  <si>
    <t>9876510045</t>
  </si>
  <si>
    <t>INV-0046</t>
  </si>
  <si>
    <t>9876510046</t>
  </si>
  <si>
    <t>INV-0047</t>
  </si>
  <si>
    <t>9876510047</t>
  </si>
  <si>
    <t>INV-0048</t>
  </si>
  <si>
    <t>9876510048</t>
  </si>
  <si>
    <t>INV-0049</t>
  </si>
  <si>
    <t>9876510049</t>
  </si>
  <si>
    <t>INV-0050</t>
  </si>
  <si>
    <t>9876510050</t>
  </si>
  <si>
    <t>INV-0051</t>
  </si>
  <si>
    <t>9876510051</t>
  </si>
  <si>
    <t>INV-0052</t>
  </si>
  <si>
    <t>9876510052</t>
  </si>
  <si>
    <t>INV-0053</t>
  </si>
  <si>
    <t>9876510053</t>
  </si>
  <si>
    <t>INV-0054</t>
  </si>
  <si>
    <t>9876510054</t>
  </si>
  <si>
    <t>INV-0055</t>
  </si>
  <si>
    <t>9876510055</t>
  </si>
  <si>
    <t>INV-0056</t>
  </si>
  <si>
    <t>9876510056</t>
  </si>
  <si>
    <t>INV-0057</t>
  </si>
  <si>
    <t>9876510057</t>
  </si>
  <si>
    <t>INV-0058</t>
  </si>
  <si>
    <t>9876510058</t>
  </si>
  <si>
    <t>INV-0059</t>
  </si>
  <si>
    <t>9876510059</t>
  </si>
  <si>
    <t>INV-0060</t>
  </si>
  <si>
    <t>9876510060</t>
  </si>
  <si>
    <t>INV-0061</t>
  </si>
  <si>
    <t>9876510061</t>
  </si>
  <si>
    <t>INV-0062</t>
  </si>
  <si>
    <t>9876510062</t>
  </si>
  <si>
    <t>INV-0063</t>
  </si>
  <si>
    <t>9876510063</t>
  </si>
  <si>
    <t>INV-0064</t>
  </si>
  <si>
    <t>9876510064</t>
  </si>
  <si>
    <t>INV-0065</t>
  </si>
  <si>
    <t>9876510065</t>
  </si>
  <si>
    <t>INV-0066</t>
  </si>
  <si>
    <t>9876510066</t>
  </si>
  <si>
    <t>INV-0067</t>
  </si>
  <si>
    <t>9876510067</t>
  </si>
  <si>
    <t>INV-0068</t>
  </si>
  <si>
    <t>9876510068</t>
  </si>
  <si>
    <t>INV-0069</t>
  </si>
  <si>
    <t>9876510069</t>
  </si>
  <si>
    <t>INV-0070</t>
  </si>
  <si>
    <t>9876510070</t>
  </si>
  <si>
    <t>INV-0071</t>
  </si>
  <si>
    <t>9876510071</t>
  </si>
  <si>
    <t>INV-0072</t>
  </si>
  <si>
    <t>9876510072</t>
  </si>
  <si>
    <t>INV-0073</t>
  </si>
  <si>
    <t>9876510073</t>
  </si>
  <si>
    <t>INV-0074</t>
  </si>
  <si>
    <t>9876510074</t>
  </si>
  <si>
    <t>INV-0075</t>
  </si>
  <si>
    <t>9876510075</t>
  </si>
  <si>
    <t>INV-0076</t>
  </si>
  <si>
    <t>9876510076</t>
  </si>
  <si>
    <t>INV-0077</t>
  </si>
  <si>
    <t>9876510077</t>
  </si>
  <si>
    <t>INV-0078</t>
  </si>
  <si>
    <t>9876510078</t>
  </si>
  <si>
    <t>INV-0079</t>
  </si>
  <si>
    <t>9876510079</t>
  </si>
  <si>
    <t>INV-0080</t>
  </si>
  <si>
    <t>9876510080</t>
  </si>
  <si>
    <t>INV-0081</t>
  </si>
  <si>
    <t>9876510081</t>
  </si>
  <si>
    <t>INV-0082</t>
  </si>
  <si>
    <t>9876510082</t>
  </si>
  <si>
    <t>INV-0083</t>
  </si>
  <si>
    <t>9876510083</t>
  </si>
  <si>
    <t>INV-0084</t>
  </si>
  <si>
    <t>9876510084</t>
  </si>
  <si>
    <t>INV-0085</t>
  </si>
  <si>
    <t>9876510085</t>
  </si>
  <si>
    <t>INV-0086</t>
  </si>
  <si>
    <t>9876510086</t>
  </si>
  <si>
    <t>INV-0087</t>
  </si>
  <si>
    <t>9876510087</t>
  </si>
  <si>
    <t>INV-0088</t>
  </si>
  <si>
    <t>9876510088</t>
  </si>
  <si>
    <t>INV-0089</t>
  </si>
  <si>
    <t>9876510089</t>
  </si>
  <si>
    <t>INV-0090</t>
  </si>
  <si>
    <t>9876510090</t>
  </si>
  <si>
    <t>INV-0091</t>
  </si>
  <si>
    <t>9876510091</t>
  </si>
  <si>
    <t>INV-0092</t>
  </si>
  <si>
    <t>9876510092</t>
  </si>
  <si>
    <t>INV-0093</t>
  </si>
  <si>
    <t>9876510093</t>
  </si>
  <si>
    <t>INV-0094</t>
  </si>
  <si>
    <t>9876510094</t>
  </si>
  <si>
    <t>INV-0095</t>
  </si>
  <si>
    <t>9876510095</t>
  </si>
  <si>
    <t>INV-0096</t>
  </si>
  <si>
    <t>9876510096</t>
  </si>
  <si>
    <t>INV-0097</t>
  </si>
  <si>
    <t>9876510097</t>
  </si>
  <si>
    <t>INV-0098</t>
  </si>
  <si>
    <t>9876510098</t>
  </si>
  <si>
    <t>INV-0099</t>
  </si>
  <si>
    <t>9876510099</t>
  </si>
  <si>
    <t>INV-0100</t>
  </si>
  <si>
    <t>9876510100</t>
  </si>
  <si>
    <t>INV-0101</t>
  </si>
  <si>
    <t>9876510101</t>
  </si>
  <si>
    <t>INV-0102</t>
  </si>
  <si>
    <t>9876510102</t>
  </si>
  <si>
    <t>INV-0103</t>
  </si>
  <si>
    <t>9876510103</t>
  </si>
  <si>
    <t>INV-0104</t>
  </si>
  <si>
    <t>9876510104</t>
  </si>
  <si>
    <t>INV-0105</t>
  </si>
  <si>
    <t>9876510105</t>
  </si>
  <si>
    <t>INV-0106</t>
  </si>
  <si>
    <t>9876510106</t>
  </si>
  <si>
    <t>INV-0107</t>
  </si>
  <si>
    <t>9876510107</t>
  </si>
  <si>
    <t>INV-0108</t>
  </si>
  <si>
    <t>9876510108</t>
  </si>
  <si>
    <t>INV-0109</t>
  </si>
  <si>
    <t>9876510109</t>
  </si>
  <si>
    <t>INV-0110</t>
  </si>
  <si>
    <t>9876510110</t>
  </si>
  <si>
    <t>INV-0111</t>
  </si>
  <si>
    <t>9876510111</t>
  </si>
  <si>
    <t>INV-0112</t>
  </si>
  <si>
    <t>9876510112</t>
  </si>
  <si>
    <t>INV-0113</t>
  </si>
  <si>
    <t>9876510113</t>
  </si>
  <si>
    <t>INV-0114</t>
  </si>
  <si>
    <t>9876510114</t>
  </si>
  <si>
    <t>INV-0115</t>
  </si>
  <si>
    <t>9876510115</t>
  </si>
  <si>
    <t>INV-0116</t>
  </si>
  <si>
    <t>9876510116</t>
  </si>
  <si>
    <t>INV-0117</t>
  </si>
  <si>
    <t>9876510117</t>
  </si>
  <si>
    <t>INV-0118</t>
  </si>
  <si>
    <t>9876510118</t>
  </si>
  <si>
    <t>INV-0119</t>
  </si>
  <si>
    <t>9876510119</t>
  </si>
  <si>
    <t>INV-0120</t>
  </si>
  <si>
    <t>9876510120</t>
  </si>
  <si>
    <t>INV-0121</t>
  </si>
  <si>
    <t>9876510121</t>
  </si>
  <si>
    <t>INV-0122</t>
  </si>
  <si>
    <t>9876510122</t>
  </si>
  <si>
    <t>INV-0123</t>
  </si>
  <si>
    <t>9876510123</t>
  </si>
  <si>
    <t>INV-0124</t>
  </si>
  <si>
    <t>9876510124</t>
  </si>
  <si>
    <t>INV-0125</t>
  </si>
  <si>
    <t>9876510125</t>
  </si>
  <si>
    <t>INV-0126</t>
  </si>
  <si>
    <t>9876510126</t>
  </si>
  <si>
    <t>INV-0127</t>
  </si>
  <si>
    <t>9876510127</t>
  </si>
  <si>
    <t>INV-0128</t>
  </si>
  <si>
    <t>9876510128</t>
  </si>
  <si>
    <t>INV-0129</t>
  </si>
  <si>
    <t>9876510129</t>
  </si>
  <si>
    <t>INV-0130</t>
  </si>
  <si>
    <t>9876510130</t>
  </si>
  <si>
    <t>INV-0131</t>
  </si>
  <si>
    <t>9876510131</t>
  </si>
  <si>
    <t>INV-0132</t>
  </si>
  <si>
    <t>9876510132</t>
  </si>
  <si>
    <t>INV-0133</t>
  </si>
  <si>
    <t>9876510133</t>
  </si>
  <si>
    <t>INV-0134</t>
  </si>
  <si>
    <t>9876510134</t>
  </si>
  <si>
    <t>INV-0135</t>
  </si>
  <si>
    <t>9876510135</t>
  </si>
  <si>
    <t>INV-0136</t>
  </si>
  <si>
    <t>9876510136</t>
  </si>
  <si>
    <t>INV-0137</t>
  </si>
  <si>
    <t>9876510137</t>
  </si>
  <si>
    <t>INV-0138</t>
  </si>
  <si>
    <t>9876510138</t>
  </si>
  <si>
    <t>INV-0139</t>
  </si>
  <si>
    <t>9876510139</t>
  </si>
  <si>
    <t>INV-0140</t>
  </si>
  <si>
    <t>9876510140</t>
  </si>
  <si>
    <t>INV-0141</t>
  </si>
  <si>
    <t>9876510141</t>
  </si>
  <si>
    <t>INV-0142</t>
  </si>
  <si>
    <t>9876510142</t>
  </si>
  <si>
    <t>INV-0143</t>
  </si>
  <si>
    <t>9876510143</t>
  </si>
  <si>
    <t>INV-0144</t>
  </si>
  <si>
    <t>9876510144</t>
  </si>
  <si>
    <t>INV-0145</t>
  </si>
  <si>
    <t>9876510145</t>
  </si>
  <si>
    <t>INV-0146</t>
  </si>
  <si>
    <t>9876510146</t>
  </si>
  <si>
    <t>INV-0147</t>
  </si>
  <si>
    <t>9876510147</t>
  </si>
  <si>
    <t>INV-0148</t>
  </si>
  <si>
    <t>9876510148</t>
  </si>
  <si>
    <t>INV-0149</t>
  </si>
  <si>
    <t>9876510149</t>
  </si>
  <si>
    <t>INV-0150</t>
  </si>
  <si>
    <t>9876510150</t>
  </si>
  <si>
    <t>RATE</t>
  </si>
  <si>
    <t>PRODUCT NAME</t>
  </si>
  <si>
    <t>PRODUCT ID</t>
  </si>
  <si>
    <t>GST</t>
  </si>
  <si>
    <t>laptop</t>
  </si>
  <si>
    <t>mouse</t>
  </si>
  <si>
    <t>keyboard</t>
  </si>
  <si>
    <t>printer</t>
  </si>
  <si>
    <t>mobile</t>
  </si>
  <si>
    <t>monitor</t>
  </si>
  <si>
    <t>CUSTOMER ID</t>
  </si>
  <si>
    <t>CUSTOMER NAME</t>
  </si>
  <si>
    <t>MOBILE NO</t>
  </si>
  <si>
    <t>C001</t>
  </si>
  <si>
    <t>C002</t>
  </si>
  <si>
    <t>C003</t>
  </si>
  <si>
    <t>C004</t>
  </si>
  <si>
    <t>C005</t>
  </si>
  <si>
    <t>C006</t>
  </si>
  <si>
    <t>ARUN TRADERS</t>
  </si>
  <si>
    <t>KUMAR TRADERS</t>
  </si>
  <si>
    <t>PRIYA TRADERS</t>
  </si>
  <si>
    <t>RAVI TRADERS</t>
  </si>
  <si>
    <t>SURESH TRADERS</t>
  </si>
  <si>
    <t>ANITHA TRADERS</t>
  </si>
  <si>
    <t>DESCRIBE</t>
  </si>
  <si>
    <t>VALUE</t>
  </si>
  <si>
    <t>TOTAL SALES</t>
  </si>
  <si>
    <t>AVERAGE SALES</t>
  </si>
  <si>
    <t>HSMAX</t>
  </si>
  <si>
    <t>LS MIN</t>
  </si>
  <si>
    <t>COUNT</t>
  </si>
  <si>
    <t>TOTAL QTY</t>
  </si>
  <si>
    <t>Row Labels</t>
  </si>
  <si>
    <t>Grand Total</t>
  </si>
  <si>
    <t>Sum of Quantity</t>
  </si>
  <si>
    <t>Sum of Rate</t>
  </si>
  <si>
    <t>Sum of GST %</t>
  </si>
  <si>
    <t>Sum of GST Amount</t>
  </si>
  <si>
    <t>Sum of Total Amount</t>
  </si>
  <si>
    <t>VLOOK UP</t>
  </si>
  <si>
    <t>hlook up</t>
  </si>
  <si>
    <t>index match</t>
  </si>
  <si>
    <t>Formula1</t>
  </si>
  <si>
    <t>laptop 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</si>
</sst>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8" x14ac:knownFonts="1">
    <font>
      <sz val="11"/>
      <color theme="1"/>
      <name val="Calibri"/>
      <family val="2"/>
      <scheme val="minor"/>
    </font>
    <font>
      <b/>
      <sz val="11"/>
      <color theme="1"/>
      <name val="Calibri"/>
      <family val="2"/>
      <scheme val="minor"/>
    </font>
    <font>
      <sz val="72"/>
      <color theme="1"/>
      <name val="Calibri"/>
      <family val="2"/>
      <scheme val="minor"/>
    </font>
    <font>
      <sz val="72"/>
      <color theme="6" tint="-0.249977111117893"/>
      <name val="Calibri"/>
      <family val="2"/>
      <scheme val="minor"/>
    </font>
    <font>
      <sz val="24"/>
      <color theme="1"/>
      <name val="Calibri"/>
      <family val="2"/>
      <scheme val="minor"/>
    </font>
    <font>
      <sz val="11"/>
      <color rgb="FF92D050"/>
      <name val="Calibri"/>
      <family val="2"/>
      <scheme val="minor"/>
    </font>
    <font>
      <sz val="24"/>
      <color theme="6" tint="-0.249977111117893"/>
      <name val="Calibri"/>
      <family val="2"/>
      <scheme val="minor"/>
    </font>
    <font>
      <sz val="24"/>
      <color rgb="FF92D050"/>
      <name val="Calibri"/>
      <family val="2"/>
      <scheme val="minor"/>
    </font>
  </fonts>
  <fills count="3">
    <fill>
      <patternFill patternType="none"/>
    </fill>
    <fill>
      <patternFill patternType="gray125"/>
    </fill>
    <fill>
      <patternFill patternType="solid">
        <fgColor rgb="FFFFFF00"/>
        <bgColor indexed="64"/>
      </patternFill>
    </fill>
  </fills>
  <borders count="5">
    <border>
      <left/>
      <right/>
      <top/>
      <bottom/>
      <diagonal/>
    </border>
    <border>
      <left/>
      <right/>
      <top style="thin">
        <color indexed="64"/>
      </top>
      <bottom/>
      <diagonal/>
    </border>
    <border>
      <left style="thin">
        <color theme="6" tint="-0.249977111117893"/>
      </left>
      <right/>
      <top style="thin">
        <color theme="6" tint="-0.249977111117893"/>
      </top>
      <bottom style="thin">
        <color theme="6" tint="-0.249977111117893"/>
      </bottom>
      <diagonal/>
    </border>
    <border>
      <left/>
      <right style="thin">
        <color theme="6" tint="-0.249977111117893"/>
      </right>
      <top style="thin">
        <color theme="6" tint="-0.249977111117893"/>
      </top>
      <bottom style="thin">
        <color theme="6" tint="-0.249977111117893"/>
      </bottom>
      <diagonal/>
    </border>
    <border>
      <left/>
      <right/>
      <top style="thin">
        <color theme="6" tint="-0.249977111117893"/>
      </top>
      <bottom style="thin">
        <color theme="6" tint="-0.249977111117893"/>
      </bottom>
      <diagonal/>
    </border>
  </borders>
  <cellStyleXfs count="1">
    <xf numFmtId="0" fontId="0" fillId="0" borderId="0"/>
  </cellStyleXfs>
  <cellXfs count="23">
    <xf numFmtId="0" fontId="0" fillId="0" borderId="0" xfId="0"/>
    <xf numFmtId="164" fontId="0" fillId="0" borderId="0" xfId="0" applyNumberFormat="1"/>
    <xf numFmtId="0" fontId="1" fillId="0" borderId="0" xfId="0" applyFont="1"/>
    <xf numFmtId="0" fontId="0" fillId="0" borderId="0" xfId="0" pivotButton="1"/>
    <xf numFmtId="0" fontId="0" fillId="0" borderId="0" xfId="0" applyAlignment="1">
      <alignment horizontal="left"/>
    </xf>
    <xf numFmtId="0" fontId="2" fillId="0" borderId="1" xfId="0" applyFont="1" applyBorder="1"/>
    <xf numFmtId="0" fontId="3" fillId="0" borderId="1" xfId="0" applyFont="1" applyBorder="1"/>
    <xf numFmtId="0" fontId="3" fillId="0" borderId="0" xfId="0" applyFont="1"/>
    <xf numFmtId="0" fontId="5" fillId="0" borderId="0" xfId="0" applyFont="1"/>
    <xf numFmtId="0" fontId="4" fillId="0" borderId="4" xfId="0" applyFont="1" applyBorder="1"/>
    <xf numFmtId="0" fontId="4" fillId="0" borderId="3" xfId="0" applyFont="1" applyBorder="1"/>
    <xf numFmtId="0" fontId="6" fillId="0" borderId="1" xfId="0" applyFont="1" applyBorder="1"/>
    <xf numFmtId="0" fontId="7" fillId="0" borderId="1" xfId="0" applyFont="1" applyBorder="1"/>
    <xf numFmtId="0" fontId="7" fillId="0" borderId="2" xfId="0" applyFont="1" applyBorder="1"/>
    <xf numFmtId="0" fontId="7" fillId="0" borderId="3" xfId="0" applyFont="1" applyBorder="1"/>
    <xf numFmtId="0" fontId="7" fillId="0" borderId="0" xfId="0" applyFont="1"/>
    <xf numFmtId="0" fontId="0" fillId="2" borderId="0" xfId="0" applyFill="1"/>
    <xf numFmtId="0" fontId="0" fillId="0" borderId="0" xfId="0" applyNumberFormat="1"/>
    <xf numFmtId="0" fontId="0" fillId="0" borderId="0" xfId="0" applyAlignment="1">
      <alignment horizontal="center"/>
    </xf>
    <xf numFmtId="0" fontId="0" fillId="0" borderId="0" xfId="0" applyAlignment="1">
      <alignment horizontal="left" indent="1"/>
    </xf>
    <xf numFmtId="0" fontId="1" fillId="0" borderId="0" xfId="0" applyFont="1" applyAlignment="1">
      <alignment horizontal="center"/>
    </xf>
    <xf numFmtId="0" fontId="0" fillId="0" borderId="0" xfId="0" applyNumberFormat="1" applyAlignment="1">
      <alignment horizontal="center"/>
    </xf>
    <xf numFmtId="0" fontId="0" fillId="0" borderId="0" xfId="0" applyAlignment="1">
      <alignment horizontal="center" vertical="center"/>
    </xf>
  </cellXfs>
  <cellStyles count="1">
    <cellStyle name="Normal" xfId="0" builtinId="0"/>
  </cellStyles>
  <dxfs count="50">
    <dxf>
      <font>
        <color rgb="FF9C0006"/>
      </font>
      <fill>
        <patternFill>
          <bgColor rgb="FFFFC7CE"/>
        </patternFill>
      </fill>
    </dxf>
    <dxf>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microsoft.com/office/2007/relationships/slicerCache" Target="slicerCaches/slicerCache6.xml"/><Relationship Id="rId10" Type="http://schemas.microsoft.com/office/2007/relationships/slicerCache" Target="slicerCaches/slicerCache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[invoice billing system project.xlsx]pivot table!PivotTable5</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9.166666666666666E-2"/>
              <c:y val="0.1064814814814815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111111111111111"/>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9.1666666666666688E-2"/>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8.3333333333333329E-2"/>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9.166666666666666E-2"/>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9.4444444444444345E-2"/>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734142607174102"/>
          <c:y val="0.31251239428404781"/>
          <c:w val="0.35240048118985129"/>
          <c:h val="0.58733413531641876"/>
        </c:manualLayout>
      </c:layout>
      <c:doughnutChart>
        <c:varyColors val="1"/>
        <c:ser>
          <c:idx val="0"/>
          <c:order val="0"/>
          <c:tx>
            <c:strRef>
              <c:f>'pivot table'!$B$1</c:f>
              <c:strCache>
                <c:ptCount val="1"/>
                <c:pt idx="0">
                  <c:v>Total</c:v>
                </c:pt>
              </c:strCache>
            </c:strRef>
          </c:tx>
          <c:dPt>
            <c:idx val="0"/>
            <c:bubble3D val="0"/>
            <c:explosion val="5"/>
            <c:spPr>
              <a:solidFill>
                <a:schemeClr val="accent1"/>
              </a:solidFill>
              <a:ln w="19050">
                <a:solidFill>
                  <a:schemeClr val="lt1"/>
                </a:solidFill>
              </a:ln>
              <a:effectLst/>
            </c:spPr>
            <c:extLst>
              <c:ext xmlns:c16="http://schemas.microsoft.com/office/drawing/2014/chart" uri="{C3380CC4-5D6E-409C-BE32-E72D297353CC}">
                <c16:uniqueId val="{00000007-1B50-4F4D-B1F3-44675A79525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1B50-4F4D-B1F3-44675A79525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3-1B50-4F4D-B1F3-44675A79525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4-1B50-4F4D-B1F3-44675A79525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5-1B50-4F4D-B1F3-44675A79525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6-1B50-4F4D-B1F3-44675A79525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table'!$A$2:$A$3</c:f>
              <c:strCache>
                <c:ptCount val="1"/>
                <c:pt idx="0">
                  <c:v>Formula1</c:v>
                </c:pt>
              </c:strCache>
            </c:strRef>
          </c:cat>
          <c:val>
            <c:numRef>
              <c:f>'pivot table'!$B$2:$B$3</c:f>
              <c:numCache>
                <c:formatCode>General</c:formatCode>
                <c:ptCount val="1"/>
              </c:numCache>
            </c:numRef>
          </c:val>
          <c:extLst>
            <c:ext xmlns:c16="http://schemas.microsoft.com/office/drawing/2014/chart" uri="{C3380CC4-5D6E-409C-BE32-E72D297353CC}">
              <c16:uniqueId val="{00000000-1B50-4F4D-B1F3-44675A79525D}"/>
            </c:ext>
          </c:extLst>
        </c:ser>
        <c:dLbls>
          <c:showLegendKey val="0"/>
          <c:showVal val="1"/>
          <c:showCatName val="0"/>
          <c:showSerName val="0"/>
          <c:showPercent val="0"/>
          <c:showBubbleSize val="0"/>
          <c:showLeaderLines val="1"/>
        </c:dLbls>
        <c:firstSliceAng val="0"/>
        <c:holeSize val="58"/>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[invoice billing system project.xlsx]pivot table!PivotTable6</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table'!$F$5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table'!$E$6:$E$13</c:f>
              <c:strCache>
                <c:ptCount val="7"/>
                <c:pt idx="0">
                  <c:v>Laptop</c:v>
                </c:pt>
                <c:pt idx="1">
                  <c:v>Keyboard</c:v>
                </c:pt>
                <c:pt idx="2">
                  <c:v>Mobile</c:v>
                </c:pt>
                <c:pt idx="3">
                  <c:v>Monitor</c:v>
                </c:pt>
                <c:pt idx="4">
                  <c:v>Mouse</c:v>
                </c:pt>
                <c:pt idx="5">
                  <c:v>Printer</c:v>
                </c:pt>
                <c:pt idx="6">
                  <c:v>Formula1</c:v>
                </c:pt>
              </c:strCache>
            </c:strRef>
          </c:cat>
          <c:val>
            <c:numRef>
              <c:f>'pivot table'!$F$6:$F$13</c:f>
              <c:numCache>
                <c:formatCode>General</c:formatCode>
                <c:ptCount val="7"/>
                <c:pt idx="0">
                  <c:v>507800</c:v>
                </c:pt>
                <c:pt idx="1">
                  <c:v>146030</c:v>
                </c:pt>
                <c:pt idx="2">
                  <c:v>127800</c:v>
                </c:pt>
                <c:pt idx="3">
                  <c:v>297500</c:v>
                </c:pt>
                <c:pt idx="4">
                  <c:v>57350</c:v>
                </c:pt>
                <c:pt idx="5">
                  <c:v>140430</c:v>
                </c:pt>
              </c:numCache>
            </c:numRef>
          </c:val>
          <c:extLst>
            <c:ext xmlns:c16="http://schemas.microsoft.com/office/drawing/2014/chart" uri="{C3380CC4-5D6E-409C-BE32-E72D297353CC}">
              <c16:uniqueId val="{00000000-0B84-41C5-9EC2-21B4EF24ABFC}"/>
            </c:ext>
          </c:extLst>
        </c:ser>
        <c:dLbls>
          <c:showLegendKey val="0"/>
          <c:showVal val="0"/>
          <c:showCatName val="0"/>
          <c:showSerName val="0"/>
          <c:showPercent val="0"/>
          <c:showBubbleSize val="0"/>
        </c:dLbls>
        <c:gapWidth val="72"/>
        <c:axId val="303657695"/>
        <c:axId val="303658175"/>
      </c:barChart>
      <c:catAx>
        <c:axId val="3036576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3658175"/>
        <c:crosses val="autoZero"/>
        <c:auto val="1"/>
        <c:lblAlgn val="ctr"/>
        <c:lblOffset val="100"/>
        <c:noMultiLvlLbl val="0"/>
      </c:catAx>
      <c:valAx>
        <c:axId val="30365817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36576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[invoice billing system project.xlsx]pivot table!PivotTable7</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046981627296589"/>
          <c:y val="0.37800488480606592"/>
          <c:w val="0.83953018372703414"/>
          <c:h val="0.53774387576552929"/>
        </c:manualLayout>
      </c:layout>
      <c:barChart>
        <c:barDir val="col"/>
        <c:grouping val="clustered"/>
        <c:varyColors val="0"/>
        <c:ser>
          <c:idx val="0"/>
          <c:order val="0"/>
          <c:tx>
            <c:strRef>
              <c:f>'pivot table'!$I$2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table'!$H$3:$H$10</c:f>
              <c:strCache>
                <c:ptCount val="7"/>
                <c:pt idx="0">
                  <c:v>Laptop</c:v>
                </c:pt>
                <c:pt idx="1">
                  <c:v>Keyboard</c:v>
                </c:pt>
                <c:pt idx="2">
                  <c:v>Mobile</c:v>
                </c:pt>
                <c:pt idx="3">
                  <c:v>Monitor</c:v>
                </c:pt>
                <c:pt idx="4">
                  <c:v>Mouse</c:v>
                </c:pt>
                <c:pt idx="5">
                  <c:v>Printer</c:v>
                </c:pt>
                <c:pt idx="6">
                  <c:v>Formula1</c:v>
                </c:pt>
              </c:strCache>
            </c:strRef>
          </c:cat>
          <c:val>
            <c:numRef>
              <c:f>'pivot table'!$I$3:$I$10</c:f>
              <c:numCache>
                <c:formatCode>General</c:formatCode>
                <c:ptCount val="7"/>
                <c:pt idx="0">
                  <c:v>2766204</c:v>
                </c:pt>
                <c:pt idx="1">
                  <c:v>311733</c:v>
                </c:pt>
                <c:pt idx="2">
                  <c:v>1401156</c:v>
                </c:pt>
                <c:pt idx="3">
                  <c:v>1010610</c:v>
                </c:pt>
                <c:pt idx="4">
                  <c:v>85527</c:v>
                </c:pt>
                <c:pt idx="5">
                  <c:v>305569.8</c:v>
                </c:pt>
              </c:numCache>
            </c:numRef>
          </c:val>
          <c:extLst>
            <c:ext xmlns:c16="http://schemas.microsoft.com/office/drawing/2014/chart" uri="{C3380CC4-5D6E-409C-BE32-E72D297353CC}">
              <c16:uniqueId val="{00000000-3D6D-416E-84C2-C21083DD7F91}"/>
            </c:ext>
          </c:extLst>
        </c:ser>
        <c:dLbls>
          <c:dLblPos val="outEnd"/>
          <c:showLegendKey val="0"/>
          <c:showVal val="1"/>
          <c:showCatName val="0"/>
          <c:showSerName val="0"/>
          <c:showPercent val="0"/>
          <c:showBubbleSize val="0"/>
        </c:dLbls>
        <c:gapWidth val="219"/>
        <c:overlap val="-27"/>
        <c:axId val="307364703"/>
        <c:axId val="307364223"/>
      </c:barChart>
      <c:catAx>
        <c:axId val="307364703"/>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7364223"/>
        <c:crosses val="autoZero"/>
        <c:auto val="1"/>
        <c:lblAlgn val="ctr"/>
        <c:lblOffset val="100"/>
        <c:noMultiLvlLbl val="0"/>
      </c:catAx>
      <c:valAx>
        <c:axId val="307364223"/>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73647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[invoice billing system project.xlsx]pivot table!PivotTable8</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strRef>
              <c:f>'pivot table'!$L$2</c:f>
              <c:strCache>
                <c:ptCount val="1"/>
                <c:pt idx="0">
                  <c:v>Total</c:v>
                </c:pt>
              </c:strCache>
            </c:strRef>
          </c:tx>
          <c:spPr>
            <a:solidFill>
              <a:schemeClr val="accent1"/>
            </a:solidFill>
            <a:ln>
              <a:noFill/>
            </a:ln>
            <a:effectLst/>
            <a:sp3d/>
          </c:spPr>
          <c:invertIfNegative val="0"/>
          <c:cat>
            <c:strRef>
              <c:f>'pivot table'!$K$3:$K$10</c:f>
              <c:strCache>
                <c:ptCount val="7"/>
                <c:pt idx="0">
                  <c:v>Laptop</c:v>
                </c:pt>
                <c:pt idx="1">
                  <c:v>Keyboard</c:v>
                </c:pt>
                <c:pt idx="2">
                  <c:v>Mobile</c:v>
                </c:pt>
                <c:pt idx="3">
                  <c:v>Monitor</c:v>
                </c:pt>
                <c:pt idx="4">
                  <c:v>Mouse</c:v>
                </c:pt>
                <c:pt idx="5">
                  <c:v>Printer</c:v>
                </c:pt>
                <c:pt idx="6">
                  <c:v>Formula1</c:v>
                </c:pt>
              </c:strCache>
            </c:strRef>
          </c:cat>
          <c:val>
            <c:numRef>
              <c:f>'pivot table'!$L$3:$L$10</c:f>
              <c:numCache>
                <c:formatCode>General</c:formatCode>
                <c:ptCount val="7"/>
                <c:pt idx="0">
                  <c:v>6254004</c:v>
                </c:pt>
                <c:pt idx="1">
                  <c:v>1746583</c:v>
                </c:pt>
                <c:pt idx="2">
                  <c:v>2255356</c:v>
                </c:pt>
                <c:pt idx="3">
                  <c:v>6625110</c:v>
                </c:pt>
                <c:pt idx="4">
                  <c:v>362677</c:v>
                </c:pt>
                <c:pt idx="5">
                  <c:v>1112179.8</c:v>
                </c:pt>
              </c:numCache>
            </c:numRef>
          </c:val>
          <c:extLst>
            <c:ext xmlns:c16="http://schemas.microsoft.com/office/drawing/2014/chart" uri="{C3380CC4-5D6E-409C-BE32-E72D297353CC}">
              <c16:uniqueId val="{00000000-028D-4BA5-8900-BFE39F215F0E}"/>
            </c:ext>
          </c:extLst>
        </c:ser>
        <c:dLbls>
          <c:showLegendKey val="0"/>
          <c:showVal val="0"/>
          <c:showCatName val="0"/>
          <c:showSerName val="0"/>
          <c:showPercent val="0"/>
          <c:showBubbleSize val="0"/>
        </c:dLbls>
        <c:gapWidth val="150"/>
        <c:shape val="box"/>
        <c:axId val="244891263"/>
        <c:axId val="244904703"/>
        <c:axId val="0"/>
      </c:bar3DChart>
      <c:catAx>
        <c:axId val="24489126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4904703"/>
        <c:crosses val="autoZero"/>
        <c:auto val="1"/>
        <c:lblAlgn val="ctr"/>
        <c:lblOffset val="100"/>
        <c:noMultiLvlLbl val="0"/>
      </c:catAx>
      <c:valAx>
        <c:axId val="24490470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48912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[invoice billing system project.xlsx]pivot table!PivotTable9</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square"/>
          <c:size val="5"/>
          <c:spPr>
            <a:solidFill>
              <a:schemeClr val="accent1"/>
            </a:solidFill>
            <a:ln w="9525">
              <a:solidFill>
                <a:srgbClr val="92D05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table'!$J$13</c:f>
              <c:strCache>
                <c:ptCount val="1"/>
                <c:pt idx="0">
                  <c:v>Total</c:v>
                </c:pt>
              </c:strCache>
            </c:strRef>
          </c:tx>
          <c:spPr>
            <a:ln w="28575" cap="rnd">
              <a:solidFill>
                <a:schemeClr val="accent1"/>
              </a:solidFill>
              <a:round/>
            </a:ln>
            <a:effectLst/>
          </c:spPr>
          <c:marker>
            <c:symbol val="square"/>
            <c:size val="5"/>
            <c:spPr>
              <a:solidFill>
                <a:schemeClr val="accent1"/>
              </a:solidFill>
              <a:ln w="9525">
                <a:solidFill>
                  <a:srgbClr val="92D05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table'!$I$14:$I$21</c:f>
              <c:strCache>
                <c:ptCount val="7"/>
                <c:pt idx="0">
                  <c:v>Laptop</c:v>
                </c:pt>
                <c:pt idx="1">
                  <c:v>Keyboard</c:v>
                </c:pt>
                <c:pt idx="2">
                  <c:v>Mobile</c:v>
                </c:pt>
                <c:pt idx="3">
                  <c:v>Monitor</c:v>
                </c:pt>
                <c:pt idx="4">
                  <c:v>Mouse</c:v>
                </c:pt>
                <c:pt idx="5">
                  <c:v>Printer</c:v>
                </c:pt>
                <c:pt idx="6">
                  <c:v>Formula1</c:v>
                </c:pt>
              </c:strCache>
            </c:strRef>
          </c:cat>
          <c:val>
            <c:numRef>
              <c:f>'pivot table'!$J$14:$J$21</c:f>
              <c:numCache>
                <c:formatCode>General</c:formatCode>
                <c:ptCount val="7"/>
                <c:pt idx="0">
                  <c:v>450</c:v>
                </c:pt>
                <c:pt idx="1">
                  <c:v>450</c:v>
                </c:pt>
                <c:pt idx="2">
                  <c:v>450</c:v>
                </c:pt>
                <c:pt idx="3">
                  <c:v>450</c:v>
                </c:pt>
                <c:pt idx="4">
                  <c:v>450</c:v>
                </c:pt>
                <c:pt idx="5">
                  <c:v>450</c:v>
                </c:pt>
              </c:numCache>
            </c:numRef>
          </c:val>
          <c:smooth val="0"/>
          <c:extLst>
            <c:ext xmlns:c16="http://schemas.microsoft.com/office/drawing/2014/chart" uri="{C3380CC4-5D6E-409C-BE32-E72D297353CC}">
              <c16:uniqueId val="{00000000-2687-4FAA-AFA5-10067BEA1702}"/>
            </c:ext>
          </c:extLst>
        </c:ser>
        <c:dLbls>
          <c:dLblPos val="t"/>
          <c:showLegendKey val="0"/>
          <c:showVal val="1"/>
          <c:showCatName val="0"/>
          <c:showSerName val="0"/>
          <c:showPercent val="0"/>
          <c:showBubbleSize val="0"/>
        </c:dLbls>
        <c:marker val="1"/>
        <c:smooth val="0"/>
        <c:axId val="249525311"/>
        <c:axId val="307274415"/>
      </c:lineChart>
      <c:catAx>
        <c:axId val="24952531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7274415"/>
        <c:crosses val="autoZero"/>
        <c:auto val="1"/>
        <c:lblAlgn val="ctr"/>
        <c:lblOffset val="100"/>
        <c:noMultiLvlLbl val="0"/>
      </c:catAx>
      <c:valAx>
        <c:axId val="3072744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95253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92D05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[invoice billing system project.xlsx]pivot table!PivotTable5</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9.166666666666666E-2"/>
              <c:y val="0.1064814814814815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111111111111111"/>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9.1666666666666688E-2"/>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8.3333333333333329E-2"/>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9.166666666666666E-2"/>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9.4444444444444345E-2"/>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9.4444444444444345E-2"/>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9.166666666666666E-2"/>
              <c:y val="0.1064814814814815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0.1111111111111111"/>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9.4444444444444345E-2"/>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9.166666666666666E-2"/>
              <c:y val="0.1064814814814815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0.1111111111111111"/>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734142607174102"/>
          <c:y val="0.31251239428404781"/>
          <c:w val="0.35240048118985129"/>
          <c:h val="0.58733413531641876"/>
        </c:manualLayout>
      </c:layout>
      <c:doughnutChart>
        <c:varyColors val="1"/>
        <c:ser>
          <c:idx val="0"/>
          <c:order val="0"/>
          <c:tx>
            <c:strRef>
              <c:f>'pivot table'!$B$1</c:f>
              <c:strCache>
                <c:ptCount val="1"/>
                <c:pt idx="0">
                  <c:v>Total</c:v>
                </c:pt>
              </c:strCache>
            </c:strRef>
          </c:tx>
          <c:dPt>
            <c:idx val="0"/>
            <c:bubble3D val="0"/>
            <c:explosion val="5"/>
            <c:spPr>
              <a:solidFill>
                <a:schemeClr val="accent1"/>
              </a:solidFill>
              <a:ln w="19050">
                <a:solidFill>
                  <a:schemeClr val="lt1"/>
                </a:solidFill>
              </a:ln>
              <a:effectLst/>
            </c:spPr>
            <c:extLst>
              <c:ext xmlns:c16="http://schemas.microsoft.com/office/drawing/2014/chart" uri="{C3380CC4-5D6E-409C-BE32-E72D297353CC}">
                <c16:uniqueId val="{00000001-701D-494F-A4E9-0DCC036C4FC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01D-494F-A4E9-0DCC036C4FC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01D-494F-A4E9-0DCC036C4FC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01D-494F-A4E9-0DCC036C4FC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01D-494F-A4E9-0DCC036C4FC7}"/>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701D-494F-A4E9-0DCC036C4FC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table'!$A$2:$A$3</c:f>
              <c:strCache>
                <c:ptCount val="1"/>
                <c:pt idx="0">
                  <c:v>Formula1</c:v>
                </c:pt>
              </c:strCache>
            </c:strRef>
          </c:cat>
          <c:val>
            <c:numRef>
              <c:f>'pivot table'!$B$2:$B$3</c:f>
              <c:numCache>
                <c:formatCode>General</c:formatCode>
                <c:ptCount val="1"/>
              </c:numCache>
            </c:numRef>
          </c:val>
          <c:extLst>
            <c:ext xmlns:c16="http://schemas.microsoft.com/office/drawing/2014/chart" uri="{C3380CC4-5D6E-409C-BE32-E72D297353CC}">
              <c16:uniqueId val="{0000000C-701D-494F-A4E9-0DCC036C4FC7}"/>
            </c:ext>
          </c:extLst>
        </c:ser>
        <c:dLbls>
          <c:showLegendKey val="0"/>
          <c:showVal val="1"/>
          <c:showCatName val="0"/>
          <c:showSerName val="0"/>
          <c:showPercent val="0"/>
          <c:showBubbleSize val="0"/>
          <c:showLeaderLines val="1"/>
        </c:dLbls>
        <c:firstSliceAng val="0"/>
        <c:holeSize val="58"/>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[invoice billing system project.xlsx]pivot table!PivotTable9</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square"/>
          <c:size val="5"/>
          <c:spPr>
            <a:solidFill>
              <a:schemeClr val="accent1"/>
            </a:solidFill>
            <a:ln w="9525">
              <a:solidFill>
                <a:srgbClr val="92D05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square"/>
          <c:size val="5"/>
          <c:spPr>
            <a:solidFill>
              <a:schemeClr val="accent1"/>
            </a:solidFill>
            <a:ln w="9525">
              <a:solidFill>
                <a:srgbClr val="92D05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square"/>
          <c:size val="5"/>
          <c:spPr>
            <a:solidFill>
              <a:schemeClr val="accent1"/>
            </a:solidFill>
            <a:ln w="9525">
              <a:solidFill>
                <a:srgbClr val="92D05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table'!$J$13</c:f>
              <c:strCache>
                <c:ptCount val="1"/>
                <c:pt idx="0">
                  <c:v>Total</c:v>
                </c:pt>
              </c:strCache>
            </c:strRef>
          </c:tx>
          <c:spPr>
            <a:ln w="28575" cap="rnd">
              <a:solidFill>
                <a:schemeClr val="accent1"/>
              </a:solidFill>
              <a:round/>
            </a:ln>
            <a:effectLst/>
          </c:spPr>
          <c:marker>
            <c:symbol val="square"/>
            <c:size val="5"/>
            <c:spPr>
              <a:solidFill>
                <a:schemeClr val="accent1"/>
              </a:solidFill>
              <a:ln w="9525">
                <a:solidFill>
                  <a:srgbClr val="92D05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table'!$I$14:$I$21</c:f>
              <c:strCache>
                <c:ptCount val="7"/>
                <c:pt idx="0">
                  <c:v>Laptop</c:v>
                </c:pt>
                <c:pt idx="1">
                  <c:v>Keyboard</c:v>
                </c:pt>
                <c:pt idx="2">
                  <c:v>Mobile</c:v>
                </c:pt>
                <c:pt idx="3">
                  <c:v>Monitor</c:v>
                </c:pt>
                <c:pt idx="4">
                  <c:v>Mouse</c:v>
                </c:pt>
                <c:pt idx="5">
                  <c:v>Printer</c:v>
                </c:pt>
                <c:pt idx="6">
                  <c:v>Formula1</c:v>
                </c:pt>
              </c:strCache>
            </c:strRef>
          </c:cat>
          <c:val>
            <c:numRef>
              <c:f>'pivot table'!$J$14:$J$21</c:f>
              <c:numCache>
                <c:formatCode>General</c:formatCode>
                <c:ptCount val="7"/>
                <c:pt idx="0">
                  <c:v>450</c:v>
                </c:pt>
                <c:pt idx="1">
                  <c:v>450</c:v>
                </c:pt>
                <c:pt idx="2">
                  <c:v>450</c:v>
                </c:pt>
                <c:pt idx="3">
                  <c:v>450</c:v>
                </c:pt>
                <c:pt idx="4">
                  <c:v>450</c:v>
                </c:pt>
                <c:pt idx="5">
                  <c:v>450</c:v>
                </c:pt>
              </c:numCache>
            </c:numRef>
          </c:val>
          <c:smooth val="0"/>
          <c:extLst>
            <c:ext xmlns:c16="http://schemas.microsoft.com/office/drawing/2014/chart" uri="{C3380CC4-5D6E-409C-BE32-E72D297353CC}">
              <c16:uniqueId val="{00000000-AE8B-4304-9B35-0F01E7253386}"/>
            </c:ext>
          </c:extLst>
        </c:ser>
        <c:dLbls>
          <c:dLblPos val="t"/>
          <c:showLegendKey val="0"/>
          <c:showVal val="1"/>
          <c:showCatName val="0"/>
          <c:showSerName val="0"/>
          <c:showPercent val="0"/>
          <c:showBubbleSize val="0"/>
        </c:dLbls>
        <c:marker val="1"/>
        <c:smooth val="0"/>
        <c:axId val="249525311"/>
        <c:axId val="307274415"/>
      </c:lineChart>
      <c:catAx>
        <c:axId val="24952531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7274415"/>
        <c:crosses val="autoZero"/>
        <c:auto val="1"/>
        <c:lblAlgn val="ctr"/>
        <c:lblOffset val="100"/>
        <c:noMultiLvlLbl val="0"/>
      </c:catAx>
      <c:valAx>
        <c:axId val="3072744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95253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92D05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6.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sv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2</xdr:col>
      <xdr:colOff>579120</xdr:colOff>
      <xdr:row>0</xdr:row>
      <xdr:rowOff>30480</xdr:rowOff>
    </xdr:from>
    <xdr:to>
      <xdr:col>12</xdr:col>
      <xdr:colOff>22860</xdr:colOff>
      <xdr:row>6</xdr:row>
      <xdr:rowOff>7620</xdr:rowOff>
    </xdr:to>
    <xdr:sp macro="" textlink="">
      <xdr:nvSpPr>
        <xdr:cNvPr id="2" name="TextBox 1">
          <a:extLst>
            <a:ext uri="{FF2B5EF4-FFF2-40B4-BE49-F238E27FC236}">
              <a16:creationId xmlns:a16="http://schemas.microsoft.com/office/drawing/2014/main" id="{AFA90986-F949-E831-9A61-BE0262B46262}"/>
            </a:ext>
          </a:extLst>
        </xdr:cNvPr>
        <xdr:cNvSpPr txBox="1"/>
      </xdr:nvSpPr>
      <xdr:spPr>
        <a:xfrm>
          <a:off x="1798320" y="30480"/>
          <a:ext cx="5539740" cy="1074420"/>
        </a:xfrm>
        <a:prstGeom prst="rect">
          <a:avLst/>
        </a:prstGeom>
        <a:solidFill>
          <a:schemeClr val="tx1">
            <a:lumMod val="50000"/>
            <a:lumOff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tx1"/>
              </a:solidFill>
            </a:rPr>
            <a:t>project objective</a:t>
          </a:r>
          <a:r>
            <a:rPr lang="en-IN" sz="1100"/>
            <a:t>;</a:t>
          </a:r>
        </a:p>
        <a:p>
          <a:r>
            <a:rPr lang="en-IN" sz="1100"/>
            <a:t>THE</a:t>
          </a:r>
          <a:r>
            <a:rPr lang="en-IN" sz="1100" baseline="0"/>
            <a:t> objective of his project is automated the invoice billing process usingmicrosoft excel,maintaincustomer and product records,calculate gst andinvoice table accurately,reducemanual errors,tracksales transactions, and generate interactive reports and dashboard for betterbusiness analysis and decision making</a:t>
          </a:r>
          <a:endParaRPr lang="en-IN" sz="1100"/>
        </a:p>
      </xdr:txBody>
    </xdr:sp>
    <xdr:clientData/>
  </xdr:twoCellAnchor>
  <xdr:twoCellAnchor>
    <xdr:from>
      <xdr:col>2</xdr:col>
      <xdr:colOff>601980</xdr:colOff>
      <xdr:row>6</xdr:row>
      <xdr:rowOff>121920</xdr:rowOff>
    </xdr:from>
    <xdr:to>
      <xdr:col>4</xdr:col>
      <xdr:colOff>132588</xdr:colOff>
      <xdr:row>7</xdr:row>
      <xdr:rowOff>106680</xdr:rowOff>
    </xdr:to>
    <xdr:sp macro="" textlink="">
      <xdr:nvSpPr>
        <xdr:cNvPr id="3" name="Arrow: Right 2">
          <a:extLst>
            <a:ext uri="{FF2B5EF4-FFF2-40B4-BE49-F238E27FC236}">
              <a16:creationId xmlns:a16="http://schemas.microsoft.com/office/drawing/2014/main" id="{46B0ED8C-DFCA-A82B-60EE-AC7C0BE4D141}"/>
            </a:ext>
          </a:extLst>
        </xdr:cNvPr>
        <xdr:cNvSpPr/>
      </xdr:nvSpPr>
      <xdr:spPr>
        <a:xfrm>
          <a:off x="1821180" y="1219200"/>
          <a:ext cx="749808" cy="16764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259080</xdr:colOff>
      <xdr:row>6</xdr:row>
      <xdr:rowOff>60960</xdr:rowOff>
    </xdr:from>
    <xdr:to>
      <xdr:col>9</xdr:col>
      <xdr:colOff>441960</xdr:colOff>
      <xdr:row>13</xdr:row>
      <xdr:rowOff>121920</xdr:rowOff>
    </xdr:to>
    <xdr:sp macro="" textlink="">
      <xdr:nvSpPr>
        <xdr:cNvPr id="4" name="TextBox 3">
          <a:extLst>
            <a:ext uri="{FF2B5EF4-FFF2-40B4-BE49-F238E27FC236}">
              <a16:creationId xmlns:a16="http://schemas.microsoft.com/office/drawing/2014/main" id="{6EEF3E96-18F0-2C87-C81E-CA434611F615}"/>
            </a:ext>
          </a:extLst>
        </xdr:cNvPr>
        <xdr:cNvSpPr txBox="1"/>
      </xdr:nvSpPr>
      <xdr:spPr>
        <a:xfrm>
          <a:off x="3916680" y="1158240"/>
          <a:ext cx="2011680" cy="13411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EXCEL</a:t>
          </a:r>
          <a:r>
            <a:rPr lang="en-IN" sz="1100" baseline="0"/>
            <a:t> SHEET</a:t>
          </a:r>
        </a:p>
        <a:p>
          <a:r>
            <a:rPr lang="en-IN" sz="1100" baseline="0"/>
            <a:t>PIVOT TABLE</a:t>
          </a:r>
        </a:p>
        <a:p>
          <a:r>
            <a:rPr lang="en-IN" sz="1100" baseline="0"/>
            <a:t>PIVORT CHART</a:t>
          </a:r>
        </a:p>
        <a:p>
          <a:r>
            <a:rPr lang="en-IN" sz="1100" baseline="0"/>
            <a:t>INERACTIVE DASHBOARD</a:t>
          </a:r>
        </a:p>
        <a:p>
          <a:r>
            <a:rPr lang="en-IN" sz="1100" baseline="0"/>
            <a:t>SLICER</a:t>
          </a:r>
        </a:p>
        <a:p>
          <a:r>
            <a:rPr lang="en-IN" sz="1100" baseline="0"/>
            <a:t>CONDITIONAL FORMATTING</a:t>
          </a:r>
        </a:p>
        <a:p>
          <a:r>
            <a:rPr lang="en-IN" sz="1100" baseline="0"/>
            <a:t>SUM()</a:t>
          </a:r>
        </a:p>
        <a:p>
          <a:endParaRPr lang="en-IN" sz="1100"/>
        </a:p>
      </xdr:txBody>
    </xdr:sp>
    <xdr:clientData/>
  </xdr:twoCellAnchor>
  <xdr:twoCellAnchor>
    <xdr:from>
      <xdr:col>4</xdr:col>
      <xdr:colOff>228600</xdr:colOff>
      <xdr:row>6</xdr:row>
      <xdr:rowOff>30480</xdr:rowOff>
    </xdr:from>
    <xdr:to>
      <xdr:col>5</xdr:col>
      <xdr:colOff>533400</xdr:colOff>
      <xdr:row>11</xdr:row>
      <xdr:rowOff>45720</xdr:rowOff>
    </xdr:to>
    <xdr:sp macro="" textlink="">
      <xdr:nvSpPr>
        <xdr:cNvPr id="5" name="Rectangle: Rounded Corners 4">
          <a:extLst>
            <a:ext uri="{FF2B5EF4-FFF2-40B4-BE49-F238E27FC236}">
              <a16:creationId xmlns:a16="http://schemas.microsoft.com/office/drawing/2014/main" id="{D363F562-94C2-6EA2-8DF2-C1AF37886D3F}"/>
            </a:ext>
          </a:extLst>
        </xdr:cNvPr>
        <xdr:cNvSpPr/>
      </xdr:nvSpPr>
      <xdr:spPr>
        <a:xfrm>
          <a:off x="2667000" y="1127760"/>
          <a:ext cx="914400" cy="929640"/>
        </a:xfrm>
        <a:prstGeom prst="roundRect">
          <a:avLst/>
        </a:prstGeom>
        <a:scene3d>
          <a:camera prst="isometricOffAxis1Right"/>
          <a:lightRig rig="threePt" dir="t"/>
        </a:scene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cap="none" spc="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rPr>
            <a:t>tools and features included</a:t>
          </a:r>
        </a:p>
      </xdr:txBody>
    </xdr:sp>
    <xdr:clientData/>
  </xdr:twoCellAnchor>
  <xdr:twoCellAnchor>
    <xdr:from>
      <xdr:col>9</xdr:col>
      <xdr:colOff>548640</xdr:colOff>
      <xdr:row>6</xdr:row>
      <xdr:rowOff>60960</xdr:rowOff>
    </xdr:from>
    <xdr:to>
      <xdr:col>12</xdr:col>
      <xdr:colOff>419100</xdr:colOff>
      <xdr:row>14</xdr:row>
      <xdr:rowOff>91440</xdr:rowOff>
    </xdr:to>
    <xdr:sp macro="" textlink="">
      <xdr:nvSpPr>
        <xdr:cNvPr id="6" name="TextBox 5">
          <a:extLst>
            <a:ext uri="{FF2B5EF4-FFF2-40B4-BE49-F238E27FC236}">
              <a16:creationId xmlns:a16="http://schemas.microsoft.com/office/drawing/2014/main" id="{572731AA-1E1D-F199-39AB-2DB32D3864C3}"/>
            </a:ext>
          </a:extLst>
        </xdr:cNvPr>
        <xdr:cNvSpPr txBox="1"/>
      </xdr:nvSpPr>
      <xdr:spPr>
        <a:xfrm>
          <a:off x="6035040" y="1158240"/>
          <a:ext cx="1699260" cy="14935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AVERAGE()</a:t>
          </a:r>
        </a:p>
        <a:p>
          <a:r>
            <a:rPr lang="en-IN" sz="1100"/>
            <a:t>MAX()</a:t>
          </a:r>
        </a:p>
        <a:p>
          <a:r>
            <a:rPr lang="en-IN" sz="1100"/>
            <a:t>MIN()</a:t>
          </a:r>
        </a:p>
        <a:p>
          <a:r>
            <a:rPr lang="en-IN" sz="1100"/>
            <a:t>COUNT()</a:t>
          </a:r>
        </a:p>
        <a:p>
          <a:r>
            <a:rPr lang="en-IN" sz="1100"/>
            <a:t>VLOOKUP()</a:t>
          </a:r>
        </a:p>
        <a:p>
          <a:r>
            <a:rPr lang="en-IN" sz="1100"/>
            <a:t>HLOOKUP()</a:t>
          </a:r>
        </a:p>
        <a:p>
          <a:r>
            <a:rPr lang="en-IN" sz="1100"/>
            <a:t>INDEXMATCH</a:t>
          </a:r>
        </a:p>
      </xdr:txBody>
    </xdr:sp>
    <xdr:clientData/>
  </xdr:twoCellAnchor>
  <xdr:twoCellAnchor>
    <xdr:from>
      <xdr:col>1</xdr:col>
      <xdr:colOff>594360</xdr:colOff>
      <xdr:row>15</xdr:row>
      <xdr:rowOff>175260</xdr:rowOff>
    </xdr:from>
    <xdr:to>
      <xdr:col>5</xdr:col>
      <xdr:colOff>541020</xdr:colOff>
      <xdr:row>21</xdr:row>
      <xdr:rowOff>91440</xdr:rowOff>
    </xdr:to>
    <xdr:sp macro="" textlink="">
      <xdr:nvSpPr>
        <xdr:cNvPr id="7" name="Arrow: Right 6">
          <a:extLst>
            <a:ext uri="{FF2B5EF4-FFF2-40B4-BE49-F238E27FC236}">
              <a16:creationId xmlns:a16="http://schemas.microsoft.com/office/drawing/2014/main" id="{09DB248D-2DC4-BB61-963F-405930E70611}"/>
            </a:ext>
          </a:extLst>
        </xdr:cNvPr>
        <xdr:cNvSpPr/>
      </xdr:nvSpPr>
      <xdr:spPr>
        <a:xfrm>
          <a:off x="1203960" y="2918460"/>
          <a:ext cx="2385060" cy="101346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PROJECT FEATURE</a:t>
          </a:r>
        </a:p>
      </xdr:txBody>
    </xdr:sp>
    <xdr:clientData/>
  </xdr:twoCellAnchor>
  <xdr:twoCellAnchor>
    <xdr:from>
      <xdr:col>6</xdr:col>
      <xdr:colOff>563880</xdr:colOff>
      <xdr:row>16</xdr:row>
      <xdr:rowOff>144780</xdr:rowOff>
    </xdr:from>
    <xdr:to>
      <xdr:col>14</xdr:col>
      <xdr:colOff>350520</xdr:colOff>
      <xdr:row>24</xdr:row>
      <xdr:rowOff>114300</xdr:rowOff>
    </xdr:to>
    <xdr:sp macro="" textlink="">
      <xdr:nvSpPr>
        <xdr:cNvPr id="8" name="TextBox 7">
          <a:extLst>
            <a:ext uri="{FF2B5EF4-FFF2-40B4-BE49-F238E27FC236}">
              <a16:creationId xmlns:a16="http://schemas.microsoft.com/office/drawing/2014/main" id="{C96F5F02-F1C6-AE79-07D8-2298DE5ABC56}"/>
            </a:ext>
          </a:extLst>
        </xdr:cNvPr>
        <xdr:cNvSpPr txBox="1"/>
      </xdr:nvSpPr>
      <xdr:spPr>
        <a:xfrm>
          <a:off x="4221480" y="3070860"/>
          <a:ext cx="4663440" cy="14325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PROJECT MASTER</a:t>
          </a:r>
        </a:p>
        <a:p>
          <a:r>
            <a:rPr lang="en-IN" sz="1100"/>
            <a:t>CUSTOMER MASTER</a:t>
          </a:r>
        </a:p>
        <a:p>
          <a:r>
            <a:rPr lang="en-IN" sz="1100"/>
            <a:t>INVOICEENTRY FORM</a:t>
          </a:r>
        </a:p>
        <a:p>
          <a:r>
            <a:rPr lang="en-IN" sz="1100"/>
            <a:t>AUTOMATIC PRODUCTLOOKUP</a:t>
          </a:r>
        </a:p>
        <a:p>
          <a:r>
            <a:rPr lang="en-IN" sz="1100"/>
            <a:t>GST CALCULATION</a:t>
          </a:r>
        </a:p>
        <a:p>
          <a:r>
            <a:rPr lang="en-IN" sz="1100"/>
            <a:t>SALES</a:t>
          </a:r>
          <a:r>
            <a:rPr lang="en-IN" sz="1100" baseline="0"/>
            <a:t> SUMMARY REPORT</a:t>
          </a:r>
        </a:p>
        <a:p>
          <a:r>
            <a:rPr lang="en-IN" sz="1100" baseline="0"/>
            <a:t>INTERACTIVE DASHBOARD</a:t>
          </a:r>
        </a:p>
        <a:p>
          <a:r>
            <a:rPr lang="en-IN" sz="1100" baseline="0"/>
            <a:t>USER FRIENDLY AND AUTOMATED BILLING SYSTEM</a:t>
          </a:r>
        </a:p>
        <a:p>
          <a:endParaRPr lang="en-IN"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10</xdr:row>
      <xdr:rowOff>83820</xdr:rowOff>
    </xdr:from>
    <xdr:to>
      <xdr:col>2</xdr:col>
      <xdr:colOff>175260</xdr:colOff>
      <xdr:row>23</xdr:row>
      <xdr:rowOff>15240</xdr:rowOff>
    </xdr:to>
    <xdr:graphicFrame macro="">
      <xdr:nvGraphicFramePr>
        <xdr:cNvPr id="3" name="Chart 2">
          <a:extLst>
            <a:ext uri="{FF2B5EF4-FFF2-40B4-BE49-F238E27FC236}">
              <a16:creationId xmlns:a16="http://schemas.microsoft.com/office/drawing/2014/main" id="{E9157619-61DA-73B5-D673-EDA7A069E3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373380</xdr:colOff>
      <xdr:row>14</xdr:row>
      <xdr:rowOff>83820</xdr:rowOff>
    </xdr:from>
    <xdr:to>
      <xdr:col>6</xdr:col>
      <xdr:colOff>220980</xdr:colOff>
      <xdr:row>24</xdr:row>
      <xdr:rowOff>95250</xdr:rowOff>
    </xdr:to>
    <xdr:graphicFrame macro="">
      <xdr:nvGraphicFramePr>
        <xdr:cNvPr id="5" name="Chart 4">
          <a:extLst>
            <a:ext uri="{FF2B5EF4-FFF2-40B4-BE49-F238E27FC236}">
              <a16:creationId xmlns:a16="http://schemas.microsoft.com/office/drawing/2014/main" id="{EF8EBB4A-4440-EEB2-C50B-B0F7A11654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15240</xdr:colOff>
      <xdr:row>22</xdr:row>
      <xdr:rowOff>60960</xdr:rowOff>
    </xdr:from>
    <xdr:to>
      <xdr:col>12</xdr:col>
      <xdr:colOff>403860</xdr:colOff>
      <xdr:row>34</xdr:row>
      <xdr:rowOff>152400</xdr:rowOff>
    </xdr:to>
    <xdr:graphicFrame macro="">
      <xdr:nvGraphicFramePr>
        <xdr:cNvPr id="6" name="Chart 5">
          <a:extLst>
            <a:ext uri="{FF2B5EF4-FFF2-40B4-BE49-F238E27FC236}">
              <a16:creationId xmlns:a16="http://schemas.microsoft.com/office/drawing/2014/main" id="{22EB3844-2EA1-274F-7766-0B3184B880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22860</xdr:colOff>
      <xdr:row>10</xdr:row>
      <xdr:rowOff>83820</xdr:rowOff>
    </xdr:from>
    <xdr:to>
      <xdr:col>13</xdr:col>
      <xdr:colOff>525780</xdr:colOff>
      <xdr:row>20</xdr:row>
      <xdr:rowOff>57150</xdr:rowOff>
    </xdr:to>
    <xdr:graphicFrame macro="">
      <xdr:nvGraphicFramePr>
        <xdr:cNvPr id="7" name="Chart 6">
          <a:extLst>
            <a:ext uri="{FF2B5EF4-FFF2-40B4-BE49-F238E27FC236}">
              <a16:creationId xmlns:a16="http://schemas.microsoft.com/office/drawing/2014/main" id="{F64A2601-1BCC-CACF-1522-9FAB824BB7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26</xdr:row>
      <xdr:rowOff>22860</xdr:rowOff>
    </xdr:from>
    <xdr:to>
      <xdr:col>5</xdr:col>
      <xdr:colOff>609600</xdr:colOff>
      <xdr:row>34</xdr:row>
      <xdr:rowOff>179070</xdr:rowOff>
    </xdr:to>
    <xdr:graphicFrame macro="">
      <xdr:nvGraphicFramePr>
        <xdr:cNvPr id="10" name="Chart 9">
          <a:extLst>
            <a:ext uri="{FF2B5EF4-FFF2-40B4-BE49-F238E27FC236}">
              <a16:creationId xmlns:a16="http://schemas.microsoft.com/office/drawing/2014/main" id="{2324A1F7-6C2F-B787-08F3-AF7A6FF822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xdr:col>
      <xdr:colOff>15240</xdr:colOff>
      <xdr:row>2</xdr:row>
      <xdr:rowOff>45721</xdr:rowOff>
    </xdr:from>
    <xdr:to>
      <xdr:col>3</xdr:col>
      <xdr:colOff>213360</xdr:colOff>
      <xdr:row>7</xdr:row>
      <xdr:rowOff>7621</xdr:rowOff>
    </xdr:to>
    <mc:AlternateContent xmlns:mc="http://schemas.openxmlformats.org/markup-compatibility/2006" xmlns:a14="http://schemas.microsoft.com/office/drawing/2010/main">
      <mc:Choice Requires="a14">
        <xdr:graphicFrame macro="">
          <xdr:nvGraphicFramePr>
            <xdr:cNvPr id="2" name="Product Name">
              <a:extLst>
                <a:ext uri="{FF2B5EF4-FFF2-40B4-BE49-F238E27FC236}">
                  <a16:creationId xmlns:a16="http://schemas.microsoft.com/office/drawing/2014/main" id="{B558F33D-7FFE-E4D8-9AA3-DCB3AD64DE02}"/>
                </a:ext>
              </a:extLst>
            </xdr:cNvPr>
            <xdr:cNvGraphicFramePr/>
          </xdr:nvGraphicFramePr>
          <xdr:xfrm>
            <a:off x="0" y="0"/>
            <a:ext cx="0" cy="0"/>
          </xdr:xfrm>
          <a:graphic>
            <a:graphicData uri="http://schemas.microsoft.com/office/drawing/2010/slicer">
              <sle:slicer xmlns:sle="http://schemas.microsoft.com/office/drawing/2010/slicer" name="Product Name"/>
            </a:graphicData>
          </a:graphic>
        </xdr:graphicFrame>
      </mc:Choice>
      <mc:Fallback xmlns="">
        <xdr:sp macro="" textlink="">
          <xdr:nvSpPr>
            <xdr:cNvPr id="0" name=""/>
            <xdr:cNvSpPr>
              <a:spLocks noTextEdit="1"/>
            </xdr:cNvSpPr>
          </xdr:nvSpPr>
          <xdr:spPr>
            <a:xfrm>
              <a:off x="876300" y="411481"/>
              <a:ext cx="1828800" cy="876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388620</xdr:colOff>
      <xdr:row>2</xdr:row>
      <xdr:rowOff>91440</xdr:rowOff>
    </xdr:from>
    <xdr:to>
      <xdr:col>31</xdr:col>
      <xdr:colOff>388620</xdr:colOff>
      <xdr:row>15</xdr:row>
      <xdr:rowOff>180975</xdr:rowOff>
    </xdr:to>
    <mc:AlternateContent xmlns:mc="http://schemas.openxmlformats.org/markup-compatibility/2006" xmlns:a14="http://schemas.microsoft.com/office/drawing/2010/main">
      <mc:Choice Requires="a14">
        <xdr:graphicFrame macro="">
          <xdr:nvGraphicFramePr>
            <xdr:cNvPr id="8" name="Rate">
              <a:extLst>
                <a:ext uri="{FF2B5EF4-FFF2-40B4-BE49-F238E27FC236}">
                  <a16:creationId xmlns:a16="http://schemas.microsoft.com/office/drawing/2014/main" id="{63E32BB7-ACFD-E155-B944-A99028493726}"/>
                </a:ext>
              </a:extLst>
            </xdr:cNvPr>
            <xdr:cNvGraphicFramePr/>
          </xdr:nvGraphicFramePr>
          <xdr:xfrm>
            <a:off x="0" y="0"/>
            <a:ext cx="0" cy="0"/>
          </xdr:xfrm>
          <a:graphic>
            <a:graphicData uri="http://schemas.microsoft.com/office/drawing/2010/slicer">
              <sle:slicer xmlns:sle="http://schemas.microsoft.com/office/drawing/2010/slicer" name="Rate"/>
            </a:graphicData>
          </a:graphic>
        </xdr:graphicFrame>
      </mc:Choice>
      <mc:Fallback xmlns="">
        <xdr:sp macro="" textlink="">
          <xdr:nvSpPr>
            <xdr:cNvPr id="0" name=""/>
            <xdr:cNvSpPr>
              <a:spLocks noTextEdit="1"/>
            </xdr:cNvSpPr>
          </xdr:nvSpPr>
          <xdr:spPr>
            <a:xfrm>
              <a:off x="20634960" y="4572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7620</xdr:colOff>
      <xdr:row>17</xdr:row>
      <xdr:rowOff>7620</xdr:rowOff>
    </xdr:from>
    <xdr:to>
      <xdr:col>17</xdr:col>
      <xdr:colOff>7620</xdr:colOff>
      <xdr:row>30</xdr:row>
      <xdr:rowOff>97155</xdr:rowOff>
    </xdr:to>
    <mc:AlternateContent xmlns:mc="http://schemas.openxmlformats.org/markup-compatibility/2006" xmlns:a14="http://schemas.microsoft.com/office/drawing/2010/main">
      <mc:Choice Requires="a14">
        <xdr:graphicFrame macro="">
          <xdr:nvGraphicFramePr>
            <xdr:cNvPr id="9" name="Amount">
              <a:extLst>
                <a:ext uri="{FF2B5EF4-FFF2-40B4-BE49-F238E27FC236}">
                  <a16:creationId xmlns:a16="http://schemas.microsoft.com/office/drawing/2014/main" id="{E1A54453-0037-4AFF-AD69-210A0C893E80}"/>
                </a:ext>
              </a:extLst>
            </xdr:cNvPr>
            <xdr:cNvGraphicFramePr/>
          </xdr:nvGraphicFramePr>
          <xdr:xfrm>
            <a:off x="0" y="0"/>
            <a:ext cx="0" cy="0"/>
          </xdr:xfrm>
          <a:graphic>
            <a:graphicData uri="http://schemas.microsoft.com/office/drawing/2010/slicer">
              <sle:slicer xmlns:sle="http://schemas.microsoft.com/office/drawing/2010/slicer" name="Amount"/>
            </a:graphicData>
          </a:graphic>
        </xdr:graphicFrame>
      </mc:Choice>
      <mc:Fallback xmlns="">
        <xdr:sp macro="" textlink="">
          <xdr:nvSpPr>
            <xdr:cNvPr id="0" name=""/>
            <xdr:cNvSpPr>
              <a:spLocks noTextEdit="1"/>
            </xdr:cNvSpPr>
          </xdr:nvSpPr>
          <xdr:spPr>
            <a:xfrm>
              <a:off x="11719560" y="31165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594360</xdr:colOff>
      <xdr:row>1</xdr:row>
      <xdr:rowOff>99060</xdr:rowOff>
    </xdr:from>
    <xdr:to>
      <xdr:col>16</xdr:col>
      <xdr:colOff>594360</xdr:colOff>
      <xdr:row>15</xdr:row>
      <xdr:rowOff>5715</xdr:rowOff>
    </xdr:to>
    <mc:AlternateContent xmlns:mc="http://schemas.openxmlformats.org/markup-compatibility/2006" xmlns:a14="http://schemas.microsoft.com/office/drawing/2010/main">
      <mc:Choice Requires="a14">
        <xdr:graphicFrame macro="">
          <xdr:nvGraphicFramePr>
            <xdr:cNvPr id="11" name="GST %">
              <a:extLst>
                <a:ext uri="{FF2B5EF4-FFF2-40B4-BE49-F238E27FC236}">
                  <a16:creationId xmlns:a16="http://schemas.microsoft.com/office/drawing/2014/main" id="{5D222D92-6643-4EA0-138D-F85E897A1BBC}"/>
                </a:ext>
              </a:extLst>
            </xdr:cNvPr>
            <xdr:cNvGraphicFramePr/>
          </xdr:nvGraphicFramePr>
          <xdr:xfrm>
            <a:off x="0" y="0"/>
            <a:ext cx="0" cy="0"/>
          </xdr:xfrm>
          <a:graphic>
            <a:graphicData uri="http://schemas.microsoft.com/office/drawing/2010/slicer">
              <sle:slicer xmlns:sle="http://schemas.microsoft.com/office/drawing/2010/slicer" name="GST %"/>
            </a:graphicData>
          </a:graphic>
        </xdr:graphicFrame>
      </mc:Choice>
      <mc:Fallback xmlns="">
        <xdr:sp macro="" textlink="">
          <xdr:nvSpPr>
            <xdr:cNvPr id="0" name=""/>
            <xdr:cNvSpPr>
              <a:spLocks noTextEdit="1"/>
            </xdr:cNvSpPr>
          </xdr:nvSpPr>
          <xdr:spPr>
            <a:xfrm>
              <a:off x="11696700" y="2819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30480</xdr:colOff>
      <xdr:row>3</xdr:row>
      <xdr:rowOff>30480</xdr:rowOff>
    </xdr:from>
    <xdr:to>
      <xdr:col>23</xdr:col>
      <xdr:colOff>30480</xdr:colOff>
      <xdr:row>16</xdr:row>
      <xdr:rowOff>120015</xdr:rowOff>
    </xdr:to>
    <mc:AlternateContent xmlns:mc="http://schemas.openxmlformats.org/markup-compatibility/2006" xmlns:a14="http://schemas.microsoft.com/office/drawing/2010/main">
      <mc:Choice Requires="a14">
        <xdr:graphicFrame macro="">
          <xdr:nvGraphicFramePr>
            <xdr:cNvPr id="12" name="GST Amount">
              <a:extLst>
                <a:ext uri="{FF2B5EF4-FFF2-40B4-BE49-F238E27FC236}">
                  <a16:creationId xmlns:a16="http://schemas.microsoft.com/office/drawing/2014/main" id="{5E4E04CF-AB28-0F84-1CC5-2624C37F9B53}"/>
                </a:ext>
              </a:extLst>
            </xdr:cNvPr>
            <xdr:cNvGraphicFramePr/>
          </xdr:nvGraphicFramePr>
          <xdr:xfrm>
            <a:off x="0" y="0"/>
            <a:ext cx="0" cy="0"/>
          </xdr:xfrm>
          <a:graphic>
            <a:graphicData uri="http://schemas.microsoft.com/office/drawing/2010/slicer">
              <sle:slicer xmlns:sle="http://schemas.microsoft.com/office/drawing/2010/slicer" name="GST Amount"/>
            </a:graphicData>
          </a:graphic>
        </xdr:graphicFrame>
      </mc:Choice>
      <mc:Fallback xmlns="">
        <xdr:sp macro="" textlink="">
          <xdr:nvSpPr>
            <xdr:cNvPr id="0" name=""/>
            <xdr:cNvSpPr>
              <a:spLocks noTextEdit="1"/>
            </xdr:cNvSpPr>
          </xdr:nvSpPr>
          <xdr:spPr>
            <a:xfrm>
              <a:off x="15400020" y="5791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487680</xdr:colOff>
      <xdr:row>10</xdr:row>
      <xdr:rowOff>0</xdr:rowOff>
    </xdr:from>
    <xdr:to>
      <xdr:col>26</xdr:col>
      <xdr:colOff>487680</xdr:colOff>
      <xdr:row>23</xdr:row>
      <xdr:rowOff>89535</xdr:rowOff>
    </xdr:to>
    <mc:AlternateContent xmlns:mc="http://schemas.openxmlformats.org/markup-compatibility/2006" xmlns:a14="http://schemas.microsoft.com/office/drawing/2010/main">
      <mc:Choice Requires="a14">
        <xdr:graphicFrame macro="">
          <xdr:nvGraphicFramePr>
            <xdr:cNvPr id="13" name="Total Amount">
              <a:extLst>
                <a:ext uri="{FF2B5EF4-FFF2-40B4-BE49-F238E27FC236}">
                  <a16:creationId xmlns:a16="http://schemas.microsoft.com/office/drawing/2014/main" id="{3E9E0B46-045B-64E0-B471-15C609A4CD33}"/>
                </a:ext>
              </a:extLst>
            </xdr:cNvPr>
            <xdr:cNvGraphicFramePr/>
          </xdr:nvGraphicFramePr>
          <xdr:xfrm>
            <a:off x="0" y="0"/>
            <a:ext cx="0" cy="0"/>
          </xdr:xfrm>
          <a:graphic>
            <a:graphicData uri="http://schemas.microsoft.com/office/drawing/2010/slicer">
              <sle:slicer xmlns:sle="http://schemas.microsoft.com/office/drawing/2010/slicer" name="Total Amount"/>
            </a:graphicData>
          </a:graphic>
        </xdr:graphicFrame>
      </mc:Choice>
      <mc:Fallback xmlns="">
        <xdr:sp macro="" textlink="">
          <xdr:nvSpPr>
            <xdr:cNvPr id="0" name=""/>
            <xdr:cNvSpPr>
              <a:spLocks noTextEdit="1"/>
            </xdr:cNvSpPr>
          </xdr:nvSpPr>
          <xdr:spPr>
            <a:xfrm>
              <a:off x="17686020" y="18288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7</xdr:col>
      <xdr:colOff>320040</xdr:colOff>
      <xdr:row>6</xdr:row>
      <xdr:rowOff>30480</xdr:rowOff>
    </xdr:from>
    <xdr:to>
      <xdr:col>11</xdr:col>
      <xdr:colOff>77640</xdr:colOff>
      <xdr:row>11</xdr:row>
      <xdr:rowOff>175260</xdr:rowOff>
    </xdr:to>
    <xdr:sp macro="" textlink="'SALES SUMMARY'!B5">
      <xdr:nvSpPr>
        <xdr:cNvPr id="3" name="Rectangle: Rounded Corners 2">
          <a:extLst>
            <a:ext uri="{FF2B5EF4-FFF2-40B4-BE49-F238E27FC236}">
              <a16:creationId xmlns:a16="http://schemas.microsoft.com/office/drawing/2014/main" id="{A1F8A86A-A2A6-EA81-9ADC-ECA22D15F152}"/>
            </a:ext>
          </a:extLst>
        </xdr:cNvPr>
        <xdr:cNvSpPr/>
      </xdr:nvSpPr>
      <xdr:spPr>
        <a:xfrm>
          <a:off x="4587240" y="1127760"/>
          <a:ext cx="2196000" cy="1059180"/>
        </a:xfrm>
        <a:prstGeom prst="roundRect">
          <a:avLst/>
        </a:prstGeom>
        <a:solidFill>
          <a:schemeClr val="bg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E283D316-CE11-4784-8DCA-B8F7ADD686DD}" type="TxLink">
            <a:rPr lang="en-US" sz="1100" b="0" i="0" u="none" strike="noStrike">
              <a:solidFill>
                <a:srgbClr val="000000"/>
              </a:solidFill>
              <a:latin typeface="Calibri"/>
              <a:ea typeface="Calibri"/>
              <a:cs typeface="Calibri"/>
            </a:rPr>
            <a:pPr algn="l"/>
            <a:t>413</a:t>
          </a:fld>
          <a:endParaRPr lang="en-IN" sz="1100"/>
        </a:p>
      </xdr:txBody>
    </xdr:sp>
    <xdr:clientData/>
  </xdr:twoCellAnchor>
  <xdr:twoCellAnchor>
    <xdr:from>
      <xdr:col>0</xdr:col>
      <xdr:colOff>144780</xdr:colOff>
      <xdr:row>5</xdr:row>
      <xdr:rowOff>152400</xdr:rowOff>
    </xdr:from>
    <xdr:to>
      <xdr:col>3</xdr:col>
      <xdr:colOff>511980</xdr:colOff>
      <xdr:row>11</xdr:row>
      <xdr:rowOff>114300</xdr:rowOff>
    </xdr:to>
    <xdr:sp macro="" textlink="'SALES SUMMARY'!B2">
      <xdr:nvSpPr>
        <xdr:cNvPr id="4" name="Rectangle: Rounded Corners 3">
          <a:extLst>
            <a:ext uri="{FF2B5EF4-FFF2-40B4-BE49-F238E27FC236}">
              <a16:creationId xmlns:a16="http://schemas.microsoft.com/office/drawing/2014/main" id="{B82A1F67-1418-52DB-F8A0-B7C3A2C4AF61}"/>
            </a:ext>
          </a:extLst>
        </xdr:cNvPr>
        <xdr:cNvSpPr/>
      </xdr:nvSpPr>
      <xdr:spPr>
        <a:xfrm>
          <a:off x="144780" y="1066800"/>
          <a:ext cx="2196000" cy="1059180"/>
        </a:xfrm>
        <a:prstGeom prst="roundRect">
          <a:avLst/>
        </a:prstGeom>
        <a:solidFill>
          <a:schemeClr val="bg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0EA84EA3-4A25-4F5E-B4F3-2F9A5F5CE144}" type="TxLink">
            <a:rPr lang="en-US" sz="1100" b="0" i="0" u="none" strike="noStrike">
              <a:solidFill>
                <a:srgbClr val="000000"/>
              </a:solidFill>
              <a:latin typeface="Calibri"/>
              <a:ea typeface="Calibri"/>
              <a:cs typeface="Calibri"/>
            </a:rPr>
            <a:pPr algn="l"/>
            <a:t>18355909.8</a:t>
          </a:fld>
          <a:endParaRPr lang="en-IN" sz="1100"/>
        </a:p>
      </xdr:txBody>
    </xdr:sp>
    <xdr:clientData/>
  </xdr:twoCellAnchor>
  <xdr:twoCellAnchor>
    <xdr:from>
      <xdr:col>3</xdr:col>
      <xdr:colOff>525780</xdr:colOff>
      <xdr:row>6</xdr:row>
      <xdr:rowOff>15240</xdr:rowOff>
    </xdr:from>
    <xdr:to>
      <xdr:col>7</xdr:col>
      <xdr:colOff>283380</xdr:colOff>
      <xdr:row>11</xdr:row>
      <xdr:rowOff>160020</xdr:rowOff>
    </xdr:to>
    <xdr:sp macro="" textlink="'SALES SUMMARY'!B4">
      <xdr:nvSpPr>
        <xdr:cNvPr id="5" name="Rectangle: Rounded Corners 4">
          <a:extLst>
            <a:ext uri="{FF2B5EF4-FFF2-40B4-BE49-F238E27FC236}">
              <a16:creationId xmlns:a16="http://schemas.microsoft.com/office/drawing/2014/main" id="{74758F2E-A550-6590-778E-15E6D3B216A6}"/>
            </a:ext>
          </a:extLst>
        </xdr:cNvPr>
        <xdr:cNvSpPr/>
      </xdr:nvSpPr>
      <xdr:spPr>
        <a:xfrm>
          <a:off x="2354580" y="1112520"/>
          <a:ext cx="2196000" cy="1059180"/>
        </a:xfrm>
        <a:prstGeom prst="roundRect">
          <a:avLst/>
        </a:prstGeom>
        <a:solidFill>
          <a:schemeClr val="bg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96021576-5C6D-4726-B4C5-6765739B165E}" type="TxLink">
            <a:rPr lang="en-US" sz="1100" b="0" i="0" u="none" strike="noStrike">
              <a:solidFill>
                <a:srgbClr val="000000"/>
              </a:solidFill>
              <a:latin typeface="Calibri"/>
              <a:ea typeface="Calibri"/>
              <a:cs typeface="Calibri"/>
            </a:rPr>
            <a:pPr algn="l"/>
            <a:t>5451600</a:t>
          </a:fld>
          <a:endParaRPr lang="en-IN" sz="1100"/>
        </a:p>
      </xdr:txBody>
    </xdr:sp>
    <xdr:clientData/>
  </xdr:twoCellAnchor>
  <xdr:twoCellAnchor>
    <xdr:from>
      <xdr:col>11</xdr:col>
      <xdr:colOff>137160</xdr:colOff>
      <xdr:row>5</xdr:row>
      <xdr:rowOff>144780</xdr:rowOff>
    </xdr:from>
    <xdr:to>
      <xdr:col>14</xdr:col>
      <xdr:colOff>504360</xdr:colOff>
      <xdr:row>11</xdr:row>
      <xdr:rowOff>106680</xdr:rowOff>
    </xdr:to>
    <xdr:sp macro="" textlink="'SALES SUMMARY'!B3">
      <xdr:nvSpPr>
        <xdr:cNvPr id="6" name="Rectangle: Rounded Corners 5">
          <a:extLst>
            <a:ext uri="{FF2B5EF4-FFF2-40B4-BE49-F238E27FC236}">
              <a16:creationId xmlns:a16="http://schemas.microsoft.com/office/drawing/2014/main" id="{9D36BD45-AD60-14C5-6659-08C7F1AB9A35}"/>
            </a:ext>
          </a:extLst>
        </xdr:cNvPr>
        <xdr:cNvSpPr/>
      </xdr:nvSpPr>
      <xdr:spPr>
        <a:xfrm>
          <a:off x="6842760" y="1059180"/>
          <a:ext cx="2196000" cy="1059180"/>
        </a:xfrm>
        <a:prstGeom prst="roundRect">
          <a:avLst/>
        </a:prstGeom>
        <a:solidFill>
          <a:schemeClr val="bg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46B2D8B9-8745-465D-BA8C-00CB848733FE}" type="TxLink">
            <a:rPr lang="en-US" sz="1100" b="0" i="0" u="none" strike="noStrike">
              <a:solidFill>
                <a:srgbClr val="000000"/>
              </a:solidFill>
              <a:latin typeface="Calibri"/>
              <a:ea typeface="Calibri"/>
              <a:cs typeface="Calibri"/>
            </a:rPr>
            <a:pPr algn="l"/>
            <a:t>122372.732</a:t>
          </a:fld>
          <a:endParaRPr lang="en-IN" sz="1100"/>
        </a:p>
      </xdr:txBody>
    </xdr:sp>
    <xdr:clientData/>
  </xdr:twoCellAnchor>
  <xdr:twoCellAnchor>
    <xdr:from>
      <xdr:col>18</xdr:col>
      <xdr:colOff>342900</xdr:colOff>
      <xdr:row>6</xdr:row>
      <xdr:rowOff>30480</xdr:rowOff>
    </xdr:from>
    <xdr:to>
      <xdr:col>22</xdr:col>
      <xdr:colOff>100500</xdr:colOff>
      <xdr:row>11</xdr:row>
      <xdr:rowOff>175260</xdr:rowOff>
    </xdr:to>
    <xdr:sp macro="" textlink="'SALES SUMMARY'!B7">
      <xdr:nvSpPr>
        <xdr:cNvPr id="7" name="Rectangle: Rounded Corners 6">
          <a:extLst>
            <a:ext uri="{FF2B5EF4-FFF2-40B4-BE49-F238E27FC236}">
              <a16:creationId xmlns:a16="http://schemas.microsoft.com/office/drawing/2014/main" id="{A538F161-9E72-F38E-87FD-CFD873FF4D9C}"/>
            </a:ext>
          </a:extLst>
        </xdr:cNvPr>
        <xdr:cNvSpPr/>
      </xdr:nvSpPr>
      <xdr:spPr>
        <a:xfrm>
          <a:off x="11315700" y="1127760"/>
          <a:ext cx="2196000" cy="1059180"/>
        </a:xfrm>
        <a:prstGeom prst="roundRect">
          <a:avLst/>
        </a:prstGeom>
        <a:solidFill>
          <a:schemeClr val="bg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70206CF5-4CAF-464D-B8C2-6DC705EE3033}" type="TxLink">
            <a:rPr lang="en-US" sz="1100" b="0" i="0" u="none" strike="noStrike">
              <a:solidFill>
                <a:srgbClr val="000000"/>
              </a:solidFill>
              <a:latin typeface="Calibri"/>
              <a:ea typeface="Calibri"/>
              <a:cs typeface="Calibri"/>
            </a:rPr>
            <a:pPr algn="l"/>
            <a:t>698</a:t>
          </a:fld>
          <a:endParaRPr lang="en-IN" sz="1100"/>
        </a:p>
      </xdr:txBody>
    </xdr:sp>
    <xdr:clientData/>
  </xdr:twoCellAnchor>
  <xdr:twoCellAnchor>
    <xdr:from>
      <xdr:col>14</xdr:col>
      <xdr:colOff>548640</xdr:colOff>
      <xdr:row>6</xdr:row>
      <xdr:rowOff>15240</xdr:rowOff>
    </xdr:from>
    <xdr:to>
      <xdr:col>18</xdr:col>
      <xdr:colOff>306240</xdr:colOff>
      <xdr:row>11</xdr:row>
      <xdr:rowOff>160020</xdr:rowOff>
    </xdr:to>
    <xdr:sp macro="" textlink="'SALES SUMMARY'!B6">
      <xdr:nvSpPr>
        <xdr:cNvPr id="8" name="Rectangle: Rounded Corners 7">
          <a:extLst>
            <a:ext uri="{FF2B5EF4-FFF2-40B4-BE49-F238E27FC236}">
              <a16:creationId xmlns:a16="http://schemas.microsoft.com/office/drawing/2014/main" id="{D409AC29-E7B1-2FAD-287A-26EDB16A9B66}"/>
            </a:ext>
          </a:extLst>
        </xdr:cNvPr>
        <xdr:cNvSpPr/>
      </xdr:nvSpPr>
      <xdr:spPr>
        <a:xfrm>
          <a:off x="9083040" y="1112520"/>
          <a:ext cx="2196000" cy="1059180"/>
        </a:xfrm>
        <a:prstGeom prst="roundRect">
          <a:avLst/>
        </a:prstGeom>
        <a:solidFill>
          <a:schemeClr val="bg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C5B4BC83-4523-47C9-9505-26C1F4F65BE6}" type="TxLink">
            <a:rPr lang="en-US" sz="1100" b="0" i="0" u="none" strike="noStrike">
              <a:solidFill>
                <a:srgbClr val="000000"/>
              </a:solidFill>
              <a:latin typeface="Calibri"/>
              <a:ea typeface="Calibri"/>
              <a:cs typeface="Calibri"/>
            </a:rPr>
            <a:pPr algn="l"/>
            <a:t>150</a:t>
          </a:fld>
          <a:endParaRPr lang="en-IN" sz="1100"/>
        </a:p>
      </xdr:txBody>
    </xdr:sp>
    <xdr:clientData/>
  </xdr:twoCellAnchor>
  <xdr:twoCellAnchor>
    <xdr:from>
      <xdr:col>5</xdr:col>
      <xdr:colOff>472440</xdr:colOff>
      <xdr:row>6</xdr:row>
      <xdr:rowOff>83820</xdr:rowOff>
    </xdr:from>
    <xdr:to>
      <xdr:col>7</xdr:col>
      <xdr:colOff>198120</xdr:colOff>
      <xdr:row>9</xdr:row>
      <xdr:rowOff>45720</xdr:rowOff>
    </xdr:to>
    <xdr:sp macro="" textlink="">
      <xdr:nvSpPr>
        <xdr:cNvPr id="9" name="TextBox 8">
          <a:extLst>
            <a:ext uri="{FF2B5EF4-FFF2-40B4-BE49-F238E27FC236}">
              <a16:creationId xmlns:a16="http://schemas.microsoft.com/office/drawing/2014/main" id="{4A360357-3070-5216-56E6-F9F46722F8F1}"/>
            </a:ext>
          </a:extLst>
        </xdr:cNvPr>
        <xdr:cNvSpPr txBox="1"/>
      </xdr:nvSpPr>
      <xdr:spPr>
        <a:xfrm>
          <a:off x="3520440" y="1181100"/>
          <a:ext cx="944880" cy="5105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HIGHEST</a:t>
          </a:r>
        </a:p>
      </xdr:txBody>
    </xdr:sp>
    <xdr:clientData/>
  </xdr:twoCellAnchor>
  <xdr:twoCellAnchor>
    <xdr:from>
      <xdr:col>2</xdr:col>
      <xdr:colOff>144780</xdr:colOff>
      <xdr:row>6</xdr:row>
      <xdr:rowOff>53340</xdr:rowOff>
    </xdr:from>
    <xdr:to>
      <xdr:col>3</xdr:col>
      <xdr:colOff>335280</xdr:colOff>
      <xdr:row>8</xdr:row>
      <xdr:rowOff>91440</xdr:rowOff>
    </xdr:to>
    <xdr:sp macro="" textlink="">
      <xdr:nvSpPr>
        <xdr:cNvPr id="10" name="TextBox 9">
          <a:extLst>
            <a:ext uri="{FF2B5EF4-FFF2-40B4-BE49-F238E27FC236}">
              <a16:creationId xmlns:a16="http://schemas.microsoft.com/office/drawing/2014/main" id="{A1468A5F-EDC7-19A3-1416-78ADEB5428B9}"/>
            </a:ext>
          </a:extLst>
        </xdr:cNvPr>
        <xdr:cNvSpPr txBox="1"/>
      </xdr:nvSpPr>
      <xdr:spPr>
        <a:xfrm>
          <a:off x="1363980" y="1150620"/>
          <a:ext cx="800100" cy="4038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TOTAL</a:t>
          </a:r>
        </a:p>
        <a:p>
          <a:r>
            <a:rPr lang="en-IN" sz="1100"/>
            <a:t>VALUES</a:t>
          </a:r>
        </a:p>
      </xdr:txBody>
    </xdr:sp>
    <xdr:clientData/>
  </xdr:twoCellAnchor>
  <xdr:twoCellAnchor>
    <xdr:from>
      <xdr:col>9</xdr:col>
      <xdr:colOff>281940</xdr:colOff>
      <xdr:row>6</xdr:row>
      <xdr:rowOff>83820</xdr:rowOff>
    </xdr:from>
    <xdr:to>
      <xdr:col>10</xdr:col>
      <xdr:colOff>601980</xdr:colOff>
      <xdr:row>8</xdr:row>
      <xdr:rowOff>83820</xdr:rowOff>
    </xdr:to>
    <xdr:sp macro="" textlink="">
      <xdr:nvSpPr>
        <xdr:cNvPr id="11" name="TextBox 10">
          <a:extLst>
            <a:ext uri="{FF2B5EF4-FFF2-40B4-BE49-F238E27FC236}">
              <a16:creationId xmlns:a16="http://schemas.microsoft.com/office/drawing/2014/main" id="{718C0473-7958-2FA5-06D3-97537941F1BE}"/>
            </a:ext>
          </a:extLst>
        </xdr:cNvPr>
        <xdr:cNvSpPr txBox="1"/>
      </xdr:nvSpPr>
      <xdr:spPr>
        <a:xfrm>
          <a:off x="5768340" y="1181100"/>
          <a:ext cx="929640" cy="3657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LOWEST</a:t>
          </a:r>
        </a:p>
      </xdr:txBody>
    </xdr:sp>
    <xdr:clientData/>
  </xdr:twoCellAnchor>
  <xdr:twoCellAnchor>
    <xdr:from>
      <xdr:col>12</xdr:col>
      <xdr:colOff>579120</xdr:colOff>
      <xdr:row>6</xdr:row>
      <xdr:rowOff>114300</xdr:rowOff>
    </xdr:from>
    <xdr:to>
      <xdr:col>14</xdr:col>
      <xdr:colOff>312420</xdr:colOff>
      <xdr:row>8</xdr:row>
      <xdr:rowOff>22860</xdr:rowOff>
    </xdr:to>
    <xdr:sp macro="" textlink="">
      <xdr:nvSpPr>
        <xdr:cNvPr id="12" name="TextBox 11">
          <a:extLst>
            <a:ext uri="{FF2B5EF4-FFF2-40B4-BE49-F238E27FC236}">
              <a16:creationId xmlns:a16="http://schemas.microsoft.com/office/drawing/2014/main" id="{A83461F1-A32D-84D0-AE6D-CA5CBCCE99EB}"/>
            </a:ext>
          </a:extLst>
        </xdr:cNvPr>
        <xdr:cNvSpPr txBox="1"/>
      </xdr:nvSpPr>
      <xdr:spPr>
        <a:xfrm>
          <a:off x="7894320" y="1211580"/>
          <a:ext cx="952500" cy="2743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AVERAGE</a:t>
          </a:r>
        </a:p>
      </xdr:txBody>
    </xdr:sp>
    <xdr:clientData/>
  </xdr:twoCellAnchor>
  <xdr:twoCellAnchor>
    <xdr:from>
      <xdr:col>16</xdr:col>
      <xdr:colOff>297180</xdr:colOff>
      <xdr:row>6</xdr:row>
      <xdr:rowOff>106680</xdr:rowOff>
    </xdr:from>
    <xdr:to>
      <xdr:col>18</xdr:col>
      <xdr:colOff>22860</xdr:colOff>
      <xdr:row>9</xdr:row>
      <xdr:rowOff>175260</xdr:rowOff>
    </xdr:to>
    <xdr:sp macro="" textlink="">
      <xdr:nvSpPr>
        <xdr:cNvPr id="13" name="TextBox 12">
          <a:extLst>
            <a:ext uri="{FF2B5EF4-FFF2-40B4-BE49-F238E27FC236}">
              <a16:creationId xmlns:a16="http://schemas.microsoft.com/office/drawing/2014/main" id="{D3DD122F-0D9D-8BCD-BA43-A33AF04F4FED}"/>
            </a:ext>
          </a:extLst>
        </xdr:cNvPr>
        <xdr:cNvSpPr txBox="1"/>
      </xdr:nvSpPr>
      <xdr:spPr>
        <a:xfrm>
          <a:off x="10050780" y="1203960"/>
          <a:ext cx="944880" cy="6172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COUNT</a:t>
          </a:r>
        </a:p>
      </xdr:txBody>
    </xdr:sp>
    <xdr:clientData/>
  </xdr:twoCellAnchor>
  <xdr:twoCellAnchor>
    <xdr:from>
      <xdr:col>20</xdr:col>
      <xdr:colOff>213360</xdr:colOff>
      <xdr:row>7</xdr:row>
      <xdr:rowOff>76200</xdr:rowOff>
    </xdr:from>
    <xdr:to>
      <xdr:col>21</xdr:col>
      <xdr:colOff>403860</xdr:colOff>
      <xdr:row>9</xdr:row>
      <xdr:rowOff>60960</xdr:rowOff>
    </xdr:to>
    <xdr:sp macro="" textlink="">
      <xdr:nvSpPr>
        <xdr:cNvPr id="14" name="TextBox 13">
          <a:extLst>
            <a:ext uri="{FF2B5EF4-FFF2-40B4-BE49-F238E27FC236}">
              <a16:creationId xmlns:a16="http://schemas.microsoft.com/office/drawing/2014/main" id="{0E87AB1C-A60F-1B63-ACD7-0846B05A8CDB}"/>
            </a:ext>
          </a:extLst>
        </xdr:cNvPr>
        <xdr:cNvSpPr txBox="1"/>
      </xdr:nvSpPr>
      <xdr:spPr>
        <a:xfrm>
          <a:off x="12405360" y="1356360"/>
          <a:ext cx="800100" cy="3505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TOTAL QTY</a:t>
          </a:r>
        </a:p>
        <a:p>
          <a:endParaRPr lang="en-IN" sz="1100"/>
        </a:p>
      </xdr:txBody>
    </xdr:sp>
    <xdr:clientData/>
  </xdr:twoCellAnchor>
  <xdr:twoCellAnchor editAs="oneCell">
    <xdr:from>
      <xdr:col>8</xdr:col>
      <xdr:colOff>129540</xdr:colOff>
      <xdr:row>6</xdr:row>
      <xdr:rowOff>152400</xdr:rowOff>
    </xdr:from>
    <xdr:to>
      <xdr:col>8</xdr:col>
      <xdr:colOff>429120</xdr:colOff>
      <xdr:row>11</xdr:row>
      <xdr:rowOff>152400</xdr:rowOff>
    </xdr:to>
    <xdr:pic>
      <xdr:nvPicPr>
        <xdr:cNvPr id="16" name="Graphic 15" descr="Downward trend graph with solid fill">
          <a:extLst>
            <a:ext uri="{FF2B5EF4-FFF2-40B4-BE49-F238E27FC236}">
              <a16:creationId xmlns:a16="http://schemas.microsoft.com/office/drawing/2014/main" id="{93CCBF85-8042-4BDE-D9DA-251C6DC1BB7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flipH="1">
          <a:off x="5006340" y="1249680"/>
          <a:ext cx="299580" cy="914400"/>
        </a:xfrm>
        <a:prstGeom prst="rect">
          <a:avLst/>
        </a:prstGeom>
      </xdr:spPr>
    </xdr:pic>
    <xdr:clientData/>
  </xdr:twoCellAnchor>
  <xdr:twoCellAnchor editAs="oneCell">
    <xdr:from>
      <xdr:col>4</xdr:col>
      <xdr:colOff>271920</xdr:colOff>
      <xdr:row>6</xdr:row>
      <xdr:rowOff>142380</xdr:rowOff>
    </xdr:from>
    <xdr:to>
      <xdr:col>4</xdr:col>
      <xdr:colOff>571500</xdr:colOff>
      <xdr:row>11</xdr:row>
      <xdr:rowOff>142380</xdr:rowOff>
    </xdr:to>
    <xdr:pic>
      <xdr:nvPicPr>
        <xdr:cNvPr id="18" name="Graphic 17" descr="Downward trend graph with solid fill">
          <a:extLst>
            <a:ext uri="{FF2B5EF4-FFF2-40B4-BE49-F238E27FC236}">
              <a16:creationId xmlns:a16="http://schemas.microsoft.com/office/drawing/2014/main" id="{DB4D9415-AD86-17E6-C4D7-C5649A457A5A}"/>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flipH="1">
          <a:off x="2710320" y="1239660"/>
          <a:ext cx="299580" cy="914400"/>
        </a:xfrm>
        <a:prstGeom prst="rect">
          <a:avLst/>
        </a:prstGeom>
      </xdr:spPr>
    </xdr:pic>
    <xdr:clientData/>
  </xdr:twoCellAnchor>
  <xdr:twoCellAnchor editAs="oneCell">
    <xdr:from>
      <xdr:col>11</xdr:col>
      <xdr:colOff>429540</xdr:colOff>
      <xdr:row>6</xdr:row>
      <xdr:rowOff>178080</xdr:rowOff>
    </xdr:from>
    <xdr:to>
      <xdr:col>12</xdr:col>
      <xdr:colOff>119520</xdr:colOff>
      <xdr:row>10</xdr:row>
      <xdr:rowOff>99060</xdr:rowOff>
    </xdr:to>
    <xdr:pic>
      <xdr:nvPicPr>
        <xdr:cNvPr id="20" name="Graphic 19" descr="Pie chart with solid fill">
          <a:extLst>
            <a:ext uri="{FF2B5EF4-FFF2-40B4-BE49-F238E27FC236}">
              <a16:creationId xmlns:a16="http://schemas.microsoft.com/office/drawing/2014/main" id="{80FF652F-31A1-90FB-3CD6-0B82402F2B3C}"/>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flipH="1">
          <a:off x="7135140" y="1275360"/>
          <a:ext cx="299580" cy="652500"/>
        </a:xfrm>
        <a:prstGeom prst="rect">
          <a:avLst/>
        </a:prstGeom>
      </xdr:spPr>
    </xdr:pic>
    <xdr:clientData/>
  </xdr:twoCellAnchor>
  <xdr:twoCellAnchor editAs="oneCell">
    <xdr:from>
      <xdr:col>15</xdr:col>
      <xdr:colOff>160440</xdr:colOff>
      <xdr:row>7</xdr:row>
      <xdr:rowOff>38520</xdr:rowOff>
    </xdr:from>
    <xdr:to>
      <xdr:col>15</xdr:col>
      <xdr:colOff>460020</xdr:colOff>
      <xdr:row>12</xdr:row>
      <xdr:rowOff>38520</xdr:rowOff>
    </xdr:to>
    <xdr:pic>
      <xdr:nvPicPr>
        <xdr:cNvPr id="22" name="Graphic 21" descr="Database with solid fill">
          <a:extLst>
            <a:ext uri="{FF2B5EF4-FFF2-40B4-BE49-F238E27FC236}">
              <a16:creationId xmlns:a16="http://schemas.microsoft.com/office/drawing/2014/main" id="{4056903F-C1C3-7037-7DFA-ADDD47EA537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flipH="1">
          <a:off x="9304440" y="1318680"/>
          <a:ext cx="299580" cy="914400"/>
        </a:xfrm>
        <a:prstGeom prst="rect">
          <a:avLst/>
        </a:prstGeom>
      </xdr:spPr>
    </xdr:pic>
    <xdr:clientData/>
  </xdr:twoCellAnchor>
  <xdr:twoCellAnchor editAs="oneCell">
    <xdr:from>
      <xdr:col>19</xdr:col>
      <xdr:colOff>28500</xdr:colOff>
      <xdr:row>7</xdr:row>
      <xdr:rowOff>89460</xdr:rowOff>
    </xdr:from>
    <xdr:to>
      <xdr:col>19</xdr:col>
      <xdr:colOff>328080</xdr:colOff>
      <xdr:row>12</xdr:row>
      <xdr:rowOff>89460</xdr:rowOff>
    </xdr:to>
    <xdr:pic>
      <xdr:nvPicPr>
        <xdr:cNvPr id="24" name="Graphic 23" descr="Statistics with solid fill">
          <a:extLst>
            <a:ext uri="{FF2B5EF4-FFF2-40B4-BE49-F238E27FC236}">
              <a16:creationId xmlns:a16="http://schemas.microsoft.com/office/drawing/2014/main" id="{04EE93CC-9BA5-CFD8-C3C6-927983FF9AB6}"/>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flipH="1">
          <a:off x="11610900" y="1369620"/>
          <a:ext cx="299580" cy="914400"/>
        </a:xfrm>
        <a:prstGeom prst="rect">
          <a:avLst/>
        </a:prstGeom>
      </xdr:spPr>
    </xdr:pic>
    <xdr:clientData/>
  </xdr:twoCellAnchor>
  <xdr:twoCellAnchor editAs="oneCell">
    <xdr:from>
      <xdr:col>1</xdr:col>
      <xdr:colOff>259080</xdr:colOff>
      <xdr:row>7</xdr:row>
      <xdr:rowOff>3240</xdr:rowOff>
    </xdr:from>
    <xdr:to>
      <xdr:col>2</xdr:col>
      <xdr:colOff>53340</xdr:colOff>
      <xdr:row>11</xdr:row>
      <xdr:rowOff>22860</xdr:rowOff>
    </xdr:to>
    <xdr:pic>
      <xdr:nvPicPr>
        <xdr:cNvPr id="26" name="Graphic 25" descr="Coins with solid fill">
          <a:extLst>
            <a:ext uri="{FF2B5EF4-FFF2-40B4-BE49-F238E27FC236}">
              <a16:creationId xmlns:a16="http://schemas.microsoft.com/office/drawing/2014/main" id="{51EC91C1-0D57-FA9C-E0EA-9A9E034F88C2}"/>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flipH="1">
          <a:off x="868680" y="1283400"/>
          <a:ext cx="403860" cy="751140"/>
        </a:xfrm>
        <a:prstGeom prst="rect">
          <a:avLst/>
        </a:prstGeom>
      </xdr:spPr>
    </xdr:pic>
    <xdr:clientData/>
  </xdr:twoCellAnchor>
  <xdr:twoCellAnchor editAs="oneCell">
    <xdr:from>
      <xdr:col>0</xdr:col>
      <xdr:colOff>114300</xdr:colOff>
      <xdr:row>11</xdr:row>
      <xdr:rowOff>175260</xdr:rowOff>
    </xdr:from>
    <xdr:to>
      <xdr:col>3</xdr:col>
      <xdr:colOff>114300</xdr:colOff>
      <xdr:row>17</xdr:row>
      <xdr:rowOff>76200</xdr:rowOff>
    </xdr:to>
    <mc:AlternateContent xmlns:mc="http://schemas.openxmlformats.org/markup-compatibility/2006" xmlns:a14="http://schemas.microsoft.com/office/drawing/2010/main">
      <mc:Choice Requires="a14">
        <xdr:graphicFrame macro="">
          <xdr:nvGraphicFramePr>
            <xdr:cNvPr id="27" name="Product Name 1">
              <a:extLst>
                <a:ext uri="{FF2B5EF4-FFF2-40B4-BE49-F238E27FC236}">
                  <a16:creationId xmlns:a16="http://schemas.microsoft.com/office/drawing/2014/main" id="{F9153FF4-56C1-4FB5-8ACD-141C18F3C778}"/>
                </a:ext>
              </a:extLst>
            </xdr:cNvPr>
            <xdr:cNvGraphicFramePr/>
          </xdr:nvGraphicFramePr>
          <xdr:xfrm>
            <a:off x="0" y="0"/>
            <a:ext cx="0" cy="0"/>
          </xdr:xfrm>
          <a:graphic>
            <a:graphicData uri="http://schemas.microsoft.com/office/drawing/2010/slicer">
              <sle:slicer xmlns:sle="http://schemas.microsoft.com/office/drawing/2010/slicer" name="Product Name 1"/>
            </a:graphicData>
          </a:graphic>
        </xdr:graphicFrame>
      </mc:Choice>
      <mc:Fallback xmlns="">
        <xdr:sp macro="" textlink="">
          <xdr:nvSpPr>
            <xdr:cNvPr id="0" name=""/>
            <xdr:cNvSpPr>
              <a:spLocks noTextEdit="1"/>
            </xdr:cNvSpPr>
          </xdr:nvSpPr>
          <xdr:spPr>
            <a:xfrm>
              <a:off x="114300" y="2186940"/>
              <a:ext cx="1828800" cy="9982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320040</xdr:colOff>
      <xdr:row>12</xdr:row>
      <xdr:rowOff>0</xdr:rowOff>
    </xdr:from>
    <xdr:to>
      <xdr:col>6</xdr:col>
      <xdr:colOff>320040</xdr:colOff>
      <xdr:row>25</xdr:row>
      <xdr:rowOff>89535</xdr:rowOff>
    </xdr:to>
    <mc:AlternateContent xmlns:mc="http://schemas.openxmlformats.org/markup-compatibility/2006" xmlns:a14="http://schemas.microsoft.com/office/drawing/2010/main">
      <mc:Choice Requires="a14">
        <xdr:graphicFrame macro="">
          <xdr:nvGraphicFramePr>
            <xdr:cNvPr id="30" name="GST Amount 1">
              <a:extLst>
                <a:ext uri="{FF2B5EF4-FFF2-40B4-BE49-F238E27FC236}">
                  <a16:creationId xmlns:a16="http://schemas.microsoft.com/office/drawing/2014/main" id="{4667A9A3-D84D-4C67-AFF3-8FC4F5BBE9CB}"/>
                </a:ext>
              </a:extLst>
            </xdr:cNvPr>
            <xdr:cNvGraphicFramePr/>
          </xdr:nvGraphicFramePr>
          <xdr:xfrm>
            <a:off x="0" y="0"/>
            <a:ext cx="0" cy="0"/>
          </xdr:xfrm>
          <a:graphic>
            <a:graphicData uri="http://schemas.microsoft.com/office/drawing/2010/slicer">
              <sle:slicer xmlns:sle="http://schemas.microsoft.com/office/drawing/2010/slicer" name="GST Amount 1"/>
            </a:graphicData>
          </a:graphic>
        </xdr:graphicFrame>
      </mc:Choice>
      <mc:Fallback xmlns="">
        <xdr:sp macro="" textlink="">
          <xdr:nvSpPr>
            <xdr:cNvPr id="0" name=""/>
            <xdr:cNvSpPr>
              <a:spLocks noTextEdit="1"/>
            </xdr:cNvSpPr>
          </xdr:nvSpPr>
          <xdr:spPr>
            <a:xfrm>
              <a:off x="2148840" y="21945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556260</xdr:colOff>
      <xdr:row>11</xdr:row>
      <xdr:rowOff>129540</xdr:rowOff>
    </xdr:from>
    <xdr:to>
      <xdr:col>9</xdr:col>
      <xdr:colOff>556260</xdr:colOff>
      <xdr:row>25</xdr:row>
      <xdr:rowOff>36195</xdr:rowOff>
    </xdr:to>
    <mc:AlternateContent xmlns:mc="http://schemas.openxmlformats.org/markup-compatibility/2006">
      <mc:Choice xmlns:a14="http://schemas.microsoft.com/office/drawing/2010/main" Requires="a14">
        <xdr:graphicFrame macro="">
          <xdr:nvGraphicFramePr>
            <xdr:cNvPr id="31" name="Total Amount 1">
              <a:extLst>
                <a:ext uri="{FF2B5EF4-FFF2-40B4-BE49-F238E27FC236}">
                  <a16:creationId xmlns:a16="http://schemas.microsoft.com/office/drawing/2014/main" id="{45C3D300-7B1D-4577-8334-48A6471040CB}"/>
                </a:ext>
              </a:extLst>
            </xdr:cNvPr>
            <xdr:cNvGraphicFramePr/>
          </xdr:nvGraphicFramePr>
          <xdr:xfrm>
            <a:off x="0" y="0"/>
            <a:ext cx="0" cy="0"/>
          </xdr:xfrm>
          <a:graphic>
            <a:graphicData uri="http://schemas.microsoft.com/office/drawing/2010/slicer">
              <sle:slicer xmlns:sle="http://schemas.microsoft.com/office/drawing/2010/slicer" name="Total Amount 1"/>
            </a:graphicData>
          </a:graphic>
        </xdr:graphicFrame>
      </mc:Choice>
      <mc:Fallback>
        <xdr:sp macro="" textlink="">
          <xdr:nvSpPr>
            <xdr:cNvPr id="0" name=""/>
            <xdr:cNvSpPr>
              <a:spLocks noTextEdit="1"/>
            </xdr:cNvSpPr>
          </xdr:nvSpPr>
          <xdr:spPr>
            <a:xfrm>
              <a:off x="4213860" y="21412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83820</xdr:colOff>
      <xdr:row>12</xdr:row>
      <xdr:rowOff>0</xdr:rowOff>
    </xdr:from>
    <xdr:to>
      <xdr:col>13</xdr:col>
      <xdr:colOff>312420</xdr:colOff>
      <xdr:row>24</xdr:row>
      <xdr:rowOff>114300</xdr:rowOff>
    </xdr:to>
    <xdr:graphicFrame macro="">
      <xdr:nvGraphicFramePr>
        <xdr:cNvPr id="32" name="Chart 31">
          <a:extLst>
            <a:ext uri="{FF2B5EF4-FFF2-40B4-BE49-F238E27FC236}">
              <a16:creationId xmlns:a16="http://schemas.microsoft.com/office/drawing/2014/main" id="{46E02063-6CC7-41C0-886A-2A4D7C3875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13</xdr:col>
      <xdr:colOff>419100</xdr:colOff>
      <xdr:row>12</xdr:row>
      <xdr:rowOff>114300</xdr:rowOff>
    </xdr:from>
    <xdr:to>
      <xdr:col>21</xdr:col>
      <xdr:colOff>114300</xdr:colOff>
      <xdr:row>21</xdr:row>
      <xdr:rowOff>87630</xdr:rowOff>
    </xdr:to>
    <xdr:graphicFrame macro="">
      <xdr:nvGraphicFramePr>
        <xdr:cNvPr id="33" name="Chart 32">
          <a:extLst>
            <a:ext uri="{FF2B5EF4-FFF2-40B4-BE49-F238E27FC236}">
              <a16:creationId xmlns:a16="http://schemas.microsoft.com/office/drawing/2014/main" id="{2DEE2A6C-5807-474A-B858-83FD03705D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xdr:col>
      <xdr:colOff>502920</xdr:colOff>
      <xdr:row>0</xdr:row>
      <xdr:rowOff>106680</xdr:rowOff>
    </xdr:from>
    <xdr:to>
      <xdr:col>15</xdr:col>
      <xdr:colOff>373380</xdr:colOff>
      <xdr:row>5</xdr:row>
      <xdr:rowOff>106680</xdr:rowOff>
    </xdr:to>
    <xdr:sp macro="" textlink="">
      <xdr:nvSpPr>
        <xdr:cNvPr id="37" name="Rectangle: Rounded Corners 36">
          <a:extLst>
            <a:ext uri="{FF2B5EF4-FFF2-40B4-BE49-F238E27FC236}">
              <a16:creationId xmlns:a16="http://schemas.microsoft.com/office/drawing/2014/main" id="{DE29767F-5B15-D023-3B29-599CF550054D}"/>
            </a:ext>
          </a:extLst>
        </xdr:cNvPr>
        <xdr:cNvSpPr/>
      </xdr:nvSpPr>
      <xdr:spPr>
        <a:xfrm>
          <a:off x="1112520" y="106680"/>
          <a:ext cx="8404860" cy="9144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3600"/>
            <a:t>SALES</a:t>
          </a:r>
          <a:r>
            <a:rPr lang="en-IN" sz="3600" baseline="0"/>
            <a:t> DASHBOARD 2026</a:t>
          </a:r>
        </a:p>
        <a:p>
          <a:pPr algn="l"/>
          <a:endParaRPr lang="en-IN" sz="36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istrator" refreshedDate="46198.862977199075" createdVersion="8" refreshedVersion="8" minRefreshableVersion="3" recordCount="150" xr:uid="{874AC9B4-F12B-4F0B-B928-913F43D0CC7C}">
  <cacheSource type="worksheet">
    <worksheetSource ref="E1:L151" sheet="Invoice Billing"/>
  </cacheSource>
  <cacheFields count="8">
    <cacheField name="Product Name" numFmtId="0">
      <sharedItems count="7">
        <s v="Laptop"/>
        <s v="Mobile"/>
        <s v="Printer"/>
        <s v="Keyboard"/>
        <s v="Mouse"/>
        <s v="Monitor"/>
        <s v="Formula1" f="1"/>
      </sharedItems>
    </cacheField>
    <cacheField name="Quantity" numFmtId="0">
      <sharedItems containsSemiMixedTypes="0" containsString="0" containsNumber="1" containsInteger="1" minValue="1" maxValue="33" count="19">
        <n v="2"/>
        <n v="7"/>
        <n v="9"/>
        <n v="3"/>
        <n v="1"/>
        <n v="20"/>
        <n v="11"/>
        <n v="12"/>
        <n v="13"/>
        <n v="25"/>
        <n v="32"/>
        <n v="10"/>
        <n v="22"/>
        <n v="4"/>
        <n v="33"/>
        <n v="5"/>
        <n v="8"/>
        <n v="6"/>
        <n v="17"/>
      </sharedItems>
    </cacheField>
    <cacheField name="Rate" numFmtId="0">
      <sharedItems containsSemiMixedTypes="0" containsString="0" containsNumber="1" containsInteger="1" minValue="300" maxValue="140000" count="46">
        <n v="60000"/>
        <n v="10000"/>
        <n v="1000"/>
        <n v="23000"/>
        <n v="4000"/>
        <n v="57000"/>
        <n v="5000"/>
        <n v="1500"/>
        <n v="2200"/>
        <n v="3000"/>
        <n v="4500"/>
        <n v="2500"/>
        <n v="2000"/>
        <n v="3500"/>
        <n v="6000"/>
        <n v="40000"/>
        <n v="5500"/>
        <n v="140000"/>
        <n v="35000"/>
        <n v="4800"/>
        <n v="7900"/>
        <n v="2300"/>
        <n v="50000"/>
        <n v="27000"/>
        <n v="6800"/>
        <n v="25000"/>
        <n v="6500"/>
        <n v="7000"/>
        <n v="1700"/>
        <n v="9000"/>
        <n v="5600"/>
        <n v="6600"/>
        <n v="900"/>
        <n v="450"/>
        <n v="20000"/>
        <n v="5900"/>
        <n v="300"/>
        <n v="11000"/>
        <n v="3200"/>
        <n v="730"/>
        <n v="580"/>
        <n v="350"/>
        <n v="8000"/>
        <n v="90000"/>
        <n v="1800"/>
        <n v="80000"/>
      </sharedItems>
    </cacheField>
    <cacheField name="Amount" numFmtId="0">
      <sharedItems containsSemiMixedTypes="0" containsString="0" containsNumber="1" containsInteger="1" minValue="350" maxValue="4620000" count="74">
        <n v="120000"/>
        <n v="70000"/>
        <n v="9000"/>
        <n v="3000"/>
        <n v="2000"/>
        <n v="1000"/>
        <n v="420000"/>
        <n v="200000"/>
        <n v="11000"/>
        <n v="12000"/>
        <n v="13000"/>
        <n v="25000"/>
        <n v="1920000"/>
        <n v="230000"/>
        <n v="7000"/>
        <n v="22000"/>
        <n v="228000"/>
        <n v="10000"/>
        <n v="1500"/>
        <n v="2200"/>
        <n v="4500"/>
        <n v="2500"/>
        <n v="3500"/>
        <n v="6000"/>
        <n v="40000"/>
        <n v="8000"/>
        <n v="75000"/>
        <n v="60500"/>
        <n v="4620000"/>
        <n v="140000"/>
        <n v="19200"/>
        <n v="39500"/>
        <n v="24000"/>
        <n v="25300"/>
        <n v="207000"/>
        <n v="240000"/>
        <n v="5000"/>
        <n v="4000"/>
        <n v="500000"/>
        <n v="54000"/>
        <n v="6800"/>
        <n v="17600"/>
        <n v="150000"/>
        <n v="30000"/>
        <n v="18000"/>
        <n v="15000"/>
        <n v="13500"/>
        <n v="39000"/>
        <n v="21000"/>
        <n v="28900"/>
        <n v="27000"/>
        <n v="33600"/>
        <n v="33000"/>
        <n v="48000"/>
        <n v="2700"/>
        <n v="450"/>
        <n v="60000"/>
        <n v="23600"/>
        <n v="22500"/>
        <n v="2100"/>
        <n v="7500"/>
        <n v="16000"/>
        <n v="9600"/>
        <n v="16800"/>
        <n v="100000"/>
        <n v="20000"/>
        <n v="5110"/>
        <n v="2900"/>
        <n v="350"/>
        <n v="16100"/>
        <n v="1700"/>
        <n v="1170000"/>
        <n v="21600"/>
        <n v="560000"/>
      </sharedItems>
    </cacheField>
    <cacheField name="GST %" numFmtId="0">
      <sharedItems containsSemiMixedTypes="0" containsString="0" containsNumber="1" containsInteger="1" minValue="18" maxValue="18" count="1">
        <n v="18"/>
      </sharedItems>
    </cacheField>
    <cacheField name="GST Amount" numFmtId="0">
      <sharedItems containsSemiMixedTypes="0" containsString="0" containsNumber="1" minValue="63" maxValue="2160000" count="75">
        <n v="2160000"/>
        <n v="1260000"/>
        <n v="162000"/>
        <n v="54000"/>
        <n v="36000"/>
        <n v="180"/>
        <n v="75600"/>
        <n v="1980"/>
        <n v="2160"/>
        <n v="2340"/>
        <n v="4500"/>
        <n v="345600"/>
        <n v="41400"/>
        <n v="1260"/>
        <n v="3960"/>
        <n v="360"/>
        <n v="41040"/>
        <n v="1800"/>
        <n v="270"/>
        <n v="396"/>
        <n v="540"/>
        <n v="810"/>
        <n v="450"/>
        <n v="630"/>
        <n v="1080"/>
        <n v="7200"/>
        <n v="1440"/>
        <n v="13500"/>
        <n v="10890"/>
        <n v="831600"/>
        <n v="25200"/>
        <n v="3456"/>
        <n v="7110"/>
        <n v="4320"/>
        <n v="4554"/>
        <n v="37260"/>
        <n v="43200"/>
        <n v="900"/>
        <n v="720"/>
        <n v="90000"/>
        <n v="9720"/>
        <n v="1224"/>
        <n v="3168"/>
        <n v="27000"/>
        <n v="5400"/>
        <n v="3240"/>
        <n v="2700"/>
        <n v="2430"/>
        <n v="7020"/>
        <n v="3780"/>
        <n v="5202"/>
        <n v="4860"/>
        <n v="6048"/>
        <n v="5940"/>
        <n v="8640"/>
        <n v="486"/>
        <n v="81"/>
        <n v="10800"/>
        <n v="4248"/>
        <n v="4050"/>
        <n v="378"/>
        <n v="1350"/>
        <n v="2880"/>
        <n v="1728"/>
        <n v="3024"/>
        <n v="18000"/>
        <n v="3600"/>
        <n v="919.8"/>
        <n v="522"/>
        <n v="63"/>
        <n v="2898"/>
        <n v="306"/>
        <n v="210600"/>
        <n v="3888"/>
        <n v="100800"/>
      </sharedItems>
    </cacheField>
    <cacheField name="Total Amount" numFmtId="0">
      <sharedItems containsSemiMixedTypes="0" containsString="0" containsNumber="1" minValue="413" maxValue="5451600" count="76">
        <n v="2280000"/>
        <n v="1330000"/>
        <n v="171000"/>
        <n v="57000"/>
        <n v="38000"/>
        <n v="1180"/>
        <n v="495600"/>
        <n v="236000"/>
        <n v="12980"/>
        <n v="14160"/>
        <n v="15340"/>
        <n v="29500"/>
        <n v="2265600"/>
        <n v="271400"/>
        <n v="8260"/>
        <n v="25960"/>
        <n v="2360"/>
        <n v="269040"/>
        <n v="11800"/>
        <n v="1770"/>
        <n v="2596"/>
        <n v="3540"/>
        <n v="5310"/>
        <n v="2950"/>
        <n v="4130"/>
        <n v="7080"/>
        <n v="47200"/>
        <n v="9440"/>
        <n v="88500"/>
        <n v="71390"/>
        <n v="5451600"/>
        <n v="165200"/>
        <n v="22656"/>
        <n v="46610"/>
        <n v="28320"/>
        <n v="29854"/>
        <n v="244260"/>
        <n v="283200"/>
        <n v="5900"/>
        <n v="4720"/>
        <n v="590000"/>
        <n v="63720"/>
        <n v="8024"/>
        <n v="20768"/>
        <n v="177000"/>
        <n v="35400"/>
        <n v="21240"/>
        <n v="17700"/>
        <n v="15930"/>
        <n v="46020"/>
        <n v="24780"/>
        <n v="34102"/>
        <n v="31860"/>
        <n v="39648"/>
        <n v="38940"/>
        <n v="56640"/>
        <n v="3186"/>
        <n v="531"/>
        <n v="70800"/>
        <n v="27848"/>
        <n v="26550"/>
        <n v="2478"/>
        <n v="8850"/>
        <n v="18880"/>
        <n v="11328"/>
        <n v="19824"/>
        <n v="118000"/>
        <n v="23600"/>
        <n v="6029.8"/>
        <n v="3422"/>
        <n v="413"/>
        <n v="18998"/>
        <n v="2006"/>
        <n v="1380600"/>
        <n v="25488"/>
        <n v="660800"/>
      </sharedItems>
    </cacheField>
    <cacheField name="Payment Status" numFmtId="0">
      <sharedItems count="1">
        <s v="Paid"/>
      </sharedItems>
    </cacheField>
  </cacheFields>
  <calculatedItems count="1">
    <calculatedItem>
      <pivotArea cacheIndex="1" outline="0" fieldPosition="0">
        <references count="1">
          <reference field="0" count="1">
            <x v="6"/>
          </reference>
        </references>
      </pivotArea>
    </calculatedItem>
  </calculatedItems>
  <extLst>
    <ext xmlns:x14="http://schemas.microsoft.com/office/spreadsheetml/2009/9/main" uri="{725AE2AE-9491-48be-B2B4-4EB974FC3084}">
      <x14:pivotCacheDefinition pivotCacheId="185230669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
  <r>
    <x v="0"/>
    <x v="0"/>
    <x v="0"/>
    <x v="0"/>
    <x v="0"/>
    <x v="0"/>
    <x v="0"/>
    <x v="0"/>
  </r>
  <r>
    <x v="1"/>
    <x v="1"/>
    <x v="1"/>
    <x v="1"/>
    <x v="0"/>
    <x v="1"/>
    <x v="1"/>
    <x v="0"/>
  </r>
  <r>
    <x v="2"/>
    <x v="2"/>
    <x v="2"/>
    <x v="2"/>
    <x v="0"/>
    <x v="2"/>
    <x v="2"/>
    <x v="0"/>
  </r>
  <r>
    <x v="3"/>
    <x v="3"/>
    <x v="2"/>
    <x v="3"/>
    <x v="0"/>
    <x v="3"/>
    <x v="3"/>
    <x v="0"/>
  </r>
  <r>
    <x v="4"/>
    <x v="0"/>
    <x v="2"/>
    <x v="4"/>
    <x v="0"/>
    <x v="4"/>
    <x v="4"/>
    <x v="0"/>
  </r>
  <r>
    <x v="5"/>
    <x v="4"/>
    <x v="2"/>
    <x v="5"/>
    <x v="0"/>
    <x v="5"/>
    <x v="5"/>
    <x v="0"/>
  </r>
  <r>
    <x v="0"/>
    <x v="1"/>
    <x v="0"/>
    <x v="6"/>
    <x v="0"/>
    <x v="6"/>
    <x v="6"/>
    <x v="0"/>
  </r>
  <r>
    <x v="1"/>
    <x v="5"/>
    <x v="1"/>
    <x v="7"/>
    <x v="0"/>
    <x v="4"/>
    <x v="7"/>
    <x v="0"/>
  </r>
  <r>
    <x v="2"/>
    <x v="6"/>
    <x v="2"/>
    <x v="8"/>
    <x v="0"/>
    <x v="7"/>
    <x v="8"/>
    <x v="0"/>
  </r>
  <r>
    <x v="3"/>
    <x v="7"/>
    <x v="2"/>
    <x v="9"/>
    <x v="0"/>
    <x v="8"/>
    <x v="9"/>
    <x v="0"/>
  </r>
  <r>
    <x v="4"/>
    <x v="8"/>
    <x v="2"/>
    <x v="10"/>
    <x v="0"/>
    <x v="9"/>
    <x v="10"/>
    <x v="0"/>
  </r>
  <r>
    <x v="5"/>
    <x v="9"/>
    <x v="2"/>
    <x v="11"/>
    <x v="0"/>
    <x v="10"/>
    <x v="11"/>
    <x v="0"/>
  </r>
  <r>
    <x v="0"/>
    <x v="10"/>
    <x v="0"/>
    <x v="12"/>
    <x v="0"/>
    <x v="11"/>
    <x v="12"/>
    <x v="0"/>
  </r>
  <r>
    <x v="1"/>
    <x v="11"/>
    <x v="3"/>
    <x v="13"/>
    <x v="0"/>
    <x v="12"/>
    <x v="13"/>
    <x v="0"/>
  </r>
  <r>
    <x v="2"/>
    <x v="1"/>
    <x v="2"/>
    <x v="14"/>
    <x v="0"/>
    <x v="13"/>
    <x v="14"/>
    <x v="0"/>
  </r>
  <r>
    <x v="3"/>
    <x v="12"/>
    <x v="2"/>
    <x v="15"/>
    <x v="0"/>
    <x v="14"/>
    <x v="15"/>
    <x v="0"/>
  </r>
  <r>
    <x v="4"/>
    <x v="0"/>
    <x v="2"/>
    <x v="4"/>
    <x v="0"/>
    <x v="15"/>
    <x v="16"/>
    <x v="0"/>
  </r>
  <r>
    <x v="5"/>
    <x v="3"/>
    <x v="4"/>
    <x v="9"/>
    <x v="0"/>
    <x v="8"/>
    <x v="9"/>
    <x v="0"/>
  </r>
  <r>
    <x v="0"/>
    <x v="13"/>
    <x v="5"/>
    <x v="16"/>
    <x v="0"/>
    <x v="16"/>
    <x v="17"/>
    <x v="0"/>
  </r>
  <r>
    <x v="1"/>
    <x v="0"/>
    <x v="6"/>
    <x v="17"/>
    <x v="0"/>
    <x v="17"/>
    <x v="18"/>
    <x v="0"/>
  </r>
  <r>
    <x v="2"/>
    <x v="4"/>
    <x v="7"/>
    <x v="18"/>
    <x v="0"/>
    <x v="18"/>
    <x v="19"/>
    <x v="0"/>
  </r>
  <r>
    <x v="3"/>
    <x v="4"/>
    <x v="8"/>
    <x v="19"/>
    <x v="0"/>
    <x v="19"/>
    <x v="20"/>
    <x v="0"/>
  </r>
  <r>
    <x v="4"/>
    <x v="4"/>
    <x v="2"/>
    <x v="5"/>
    <x v="0"/>
    <x v="5"/>
    <x v="5"/>
    <x v="0"/>
  </r>
  <r>
    <x v="5"/>
    <x v="4"/>
    <x v="2"/>
    <x v="5"/>
    <x v="0"/>
    <x v="5"/>
    <x v="5"/>
    <x v="0"/>
  </r>
  <r>
    <x v="0"/>
    <x v="4"/>
    <x v="9"/>
    <x v="3"/>
    <x v="0"/>
    <x v="20"/>
    <x v="21"/>
    <x v="0"/>
  </r>
  <r>
    <x v="1"/>
    <x v="4"/>
    <x v="10"/>
    <x v="20"/>
    <x v="0"/>
    <x v="21"/>
    <x v="22"/>
    <x v="0"/>
  </r>
  <r>
    <x v="2"/>
    <x v="4"/>
    <x v="11"/>
    <x v="21"/>
    <x v="0"/>
    <x v="22"/>
    <x v="23"/>
    <x v="0"/>
  </r>
  <r>
    <x v="3"/>
    <x v="4"/>
    <x v="12"/>
    <x v="4"/>
    <x v="0"/>
    <x v="15"/>
    <x v="16"/>
    <x v="0"/>
  </r>
  <r>
    <x v="4"/>
    <x v="4"/>
    <x v="13"/>
    <x v="22"/>
    <x v="0"/>
    <x v="23"/>
    <x v="24"/>
    <x v="0"/>
  </r>
  <r>
    <x v="5"/>
    <x v="4"/>
    <x v="14"/>
    <x v="23"/>
    <x v="0"/>
    <x v="24"/>
    <x v="25"/>
    <x v="0"/>
  </r>
  <r>
    <x v="0"/>
    <x v="4"/>
    <x v="15"/>
    <x v="24"/>
    <x v="0"/>
    <x v="25"/>
    <x v="26"/>
    <x v="0"/>
  </r>
  <r>
    <x v="1"/>
    <x v="4"/>
    <x v="2"/>
    <x v="5"/>
    <x v="0"/>
    <x v="5"/>
    <x v="5"/>
    <x v="0"/>
  </r>
  <r>
    <x v="2"/>
    <x v="4"/>
    <x v="2"/>
    <x v="5"/>
    <x v="0"/>
    <x v="5"/>
    <x v="5"/>
    <x v="0"/>
  </r>
  <r>
    <x v="3"/>
    <x v="4"/>
    <x v="2"/>
    <x v="5"/>
    <x v="0"/>
    <x v="5"/>
    <x v="5"/>
    <x v="0"/>
  </r>
  <r>
    <x v="4"/>
    <x v="4"/>
    <x v="2"/>
    <x v="5"/>
    <x v="0"/>
    <x v="5"/>
    <x v="5"/>
    <x v="0"/>
  </r>
  <r>
    <x v="5"/>
    <x v="4"/>
    <x v="2"/>
    <x v="5"/>
    <x v="0"/>
    <x v="5"/>
    <x v="5"/>
    <x v="0"/>
  </r>
  <r>
    <x v="0"/>
    <x v="4"/>
    <x v="2"/>
    <x v="5"/>
    <x v="0"/>
    <x v="5"/>
    <x v="5"/>
    <x v="0"/>
  </r>
  <r>
    <x v="1"/>
    <x v="3"/>
    <x v="2"/>
    <x v="3"/>
    <x v="0"/>
    <x v="20"/>
    <x v="21"/>
    <x v="0"/>
  </r>
  <r>
    <x v="2"/>
    <x v="4"/>
    <x v="2"/>
    <x v="5"/>
    <x v="0"/>
    <x v="5"/>
    <x v="5"/>
    <x v="0"/>
  </r>
  <r>
    <x v="3"/>
    <x v="4"/>
    <x v="2"/>
    <x v="5"/>
    <x v="0"/>
    <x v="5"/>
    <x v="5"/>
    <x v="0"/>
  </r>
  <r>
    <x v="4"/>
    <x v="4"/>
    <x v="2"/>
    <x v="5"/>
    <x v="0"/>
    <x v="5"/>
    <x v="5"/>
    <x v="0"/>
  </r>
  <r>
    <x v="5"/>
    <x v="4"/>
    <x v="2"/>
    <x v="5"/>
    <x v="0"/>
    <x v="5"/>
    <x v="5"/>
    <x v="0"/>
  </r>
  <r>
    <x v="0"/>
    <x v="4"/>
    <x v="2"/>
    <x v="5"/>
    <x v="0"/>
    <x v="5"/>
    <x v="5"/>
    <x v="0"/>
  </r>
  <r>
    <x v="1"/>
    <x v="4"/>
    <x v="2"/>
    <x v="5"/>
    <x v="0"/>
    <x v="5"/>
    <x v="5"/>
    <x v="0"/>
  </r>
  <r>
    <x v="2"/>
    <x v="13"/>
    <x v="12"/>
    <x v="25"/>
    <x v="0"/>
    <x v="26"/>
    <x v="27"/>
    <x v="0"/>
  </r>
  <r>
    <x v="3"/>
    <x v="9"/>
    <x v="9"/>
    <x v="26"/>
    <x v="0"/>
    <x v="27"/>
    <x v="28"/>
    <x v="0"/>
  </r>
  <r>
    <x v="4"/>
    <x v="6"/>
    <x v="16"/>
    <x v="27"/>
    <x v="0"/>
    <x v="28"/>
    <x v="29"/>
    <x v="0"/>
  </r>
  <r>
    <x v="5"/>
    <x v="14"/>
    <x v="17"/>
    <x v="28"/>
    <x v="0"/>
    <x v="29"/>
    <x v="30"/>
    <x v="0"/>
  </r>
  <r>
    <x v="0"/>
    <x v="13"/>
    <x v="18"/>
    <x v="29"/>
    <x v="0"/>
    <x v="30"/>
    <x v="31"/>
    <x v="0"/>
  </r>
  <r>
    <x v="1"/>
    <x v="13"/>
    <x v="19"/>
    <x v="30"/>
    <x v="0"/>
    <x v="31"/>
    <x v="32"/>
    <x v="0"/>
  </r>
  <r>
    <x v="2"/>
    <x v="15"/>
    <x v="20"/>
    <x v="31"/>
    <x v="0"/>
    <x v="32"/>
    <x v="33"/>
    <x v="0"/>
  </r>
  <r>
    <x v="3"/>
    <x v="7"/>
    <x v="12"/>
    <x v="32"/>
    <x v="0"/>
    <x v="33"/>
    <x v="34"/>
    <x v="0"/>
  </r>
  <r>
    <x v="4"/>
    <x v="6"/>
    <x v="21"/>
    <x v="33"/>
    <x v="0"/>
    <x v="34"/>
    <x v="35"/>
    <x v="0"/>
  </r>
  <r>
    <x v="5"/>
    <x v="2"/>
    <x v="3"/>
    <x v="34"/>
    <x v="0"/>
    <x v="35"/>
    <x v="36"/>
    <x v="0"/>
  </r>
  <r>
    <x v="0"/>
    <x v="13"/>
    <x v="0"/>
    <x v="35"/>
    <x v="0"/>
    <x v="36"/>
    <x v="37"/>
    <x v="0"/>
  </r>
  <r>
    <x v="1"/>
    <x v="15"/>
    <x v="2"/>
    <x v="36"/>
    <x v="0"/>
    <x v="37"/>
    <x v="38"/>
    <x v="0"/>
  </r>
  <r>
    <x v="2"/>
    <x v="3"/>
    <x v="2"/>
    <x v="3"/>
    <x v="0"/>
    <x v="20"/>
    <x v="21"/>
    <x v="0"/>
  </r>
  <r>
    <x v="3"/>
    <x v="13"/>
    <x v="2"/>
    <x v="37"/>
    <x v="0"/>
    <x v="38"/>
    <x v="39"/>
    <x v="0"/>
  </r>
  <r>
    <x v="4"/>
    <x v="15"/>
    <x v="2"/>
    <x v="36"/>
    <x v="0"/>
    <x v="37"/>
    <x v="38"/>
    <x v="0"/>
  </r>
  <r>
    <x v="5"/>
    <x v="11"/>
    <x v="22"/>
    <x v="38"/>
    <x v="0"/>
    <x v="39"/>
    <x v="40"/>
    <x v="0"/>
  </r>
  <r>
    <x v="0"/>
    <x v="0"/>
    <x v="23"/>
    <x v="39"/>
    <x v="0"/>
    <x v="40"/>
    <x v="41"/>
    <x v="0"/>
  </r>
  <r>
    <x v="1"/>
    <x v="11"/>
    <x v="2"/>
    <x v="17"/>
    <x v="0"/>
    <x v="17"/>
    <x v="18"/>
    <x v="0"/>
  </r>
  <r>
    <x v="2"/>
    <x v="3"/>
    <x v="2"/>
    <x v="3"/>
    <x v="0"/>
    <x v="20"/>
    <x v="21"/>
    <x v="0"/>
  </r>
  <r>
    <x v="3"/>
    <x v="13"/>
    <x v="2"/>
    <x v="37"/>
    <x v="0"/>
    <x v="38"/>
    <x v="39"/>
    <x v="0"/>
  </r>
  <r>
    <x v="4"/>
    <x v="4"/>
    <x v="2"/>
    <x v="5"/>
    <x v="0"/>
    <x v="5"/>
    <x v="5"/>
    <x v="0"/>
  </r>
  <r>
    <x v="5"/>
    <x v="4"/>
    <x v="2"/>
    <x v="5"/>
    <x v="0"/>
    <x v="5"/>
    <x v="5"/>
    <x v="0"/>
  </r>
  <r>
    <x v="0"/>
    <x v="4"/>
    <x v="24"/>
    <x v="40"/>
    <x v="0"/>
    <x v="41"/>
    <x v="42"/>
    <x v="0"/>
  </r>
  <r>
    <x v="1"/>
    <x v="4"/>
    <x v="2"/>
    <x v="5"/>
    <x v="0"/>
    <x v="5"/>
    <x v="5"/>
    <x v="0"/>
  </r>
  <r>
    <x v="2"/>
    <x v="4"/>
    <x v="9"/>
    <x v="3"/>
    <x v="0"/>
    <x v="20"/>
    <x v="21"/>
    <x v="0"/>
  </r>
  <r>
    <x v="3"/>
    <x v="4"/>
    <x v="2"/>
    <x v="5"/>
    <x v="0"/>
    <x v="5"/>
    <x v="5"/>
    <x v="0"/>
  </r>
  <r>
    <x v="4"/>
    <x v="4"/>
    <x v="2"/>
    <x v="5"/>
    <x v="0"/>
    <x v="5"/>
    <x v="5"/>
    <x v="0"/>
  </r>
  <r>
    <x v="5"/>
    <x v="4"/>
    <x v="2"/>
    <x v="5"/>
    <x v="0"/>
    <x v="5"/>
    <x v="5"/>
    <x v="0"/>
  </r>
  <r>
    <x v="0"/>
    <x v="4"/>
    <x v="2"/>
    <x v="5"/>
    <x v="0"/>
    <x v="5"/>
    <x v="5"/>
    <x v="0"/>
  </r>
  <r>
    <x v="1"/>
    <x v="13"/>
    <x v="1"/>
    <x v="24"/>
    <x v="0"/>
    <x v="25"/>
    <x v="26"/>
    <x v="0"/>
  </r>
  <r>
    <x v="2"/>
    <x v="4"/>
    <x v="9"/>
    <x v="3"/>
    <x v="0"/>
    <x v="20"/>
    <x v="21"/>
    <x v="0"/>
  </r>
  <r>
    <x v="3"/>
    <x v="4"/>
    <x v="1"/>
    <x v="17"/>
    <x v="0"/>
    <x v="17"/>
    <x v="18"/>
    <x v="0"/>
  </r>
  <r>
    <x v="4"/>
    <x v="16"/>
    <x v="8"/>
    <x v="41"/>
    <x v="0"/>
    <x v="42"/>
    <x v="43"/>
    <x v="0"/>
  </r>
  <r>
    <x v="5"/>
    <x v="4"/>
    <x v="2"/>
    <x v="5"/>
    <x v="0"/>
    <x v="5"/>
    <x v="5"/>
    <x v="0"/>
  </r>
  <r>
    <x v="0"/>
    <x v="17"/>
    <x v="25"/>
    <x v="42"/>
    <x v="0"/>
    <x v="43"/>
    <x v="44"/>
    <x v="0"/>
  </r>
  <r>
    <x v="1"/>
    <x v="3"/>
    <x v="1"/>
    <x v="43"/>
    <x v="0"/>
    <x v="44"/>
    <x v="45"/>
    <x v="0"/>
  </r>
  <r>
    <x v="2"/>
    <x v="4"/>
    <x v="2"/>
    <x v="5"/>
    <x v="0"/>
    <x v="5"/>
    <x v="5"/>
    <x v="0"/>
  </r>
  <r>
    <x v="3"/>
    <x v="0"/>
    <x v="9"/>
    <x v="23"/>
    <x v="0"/>
    <x v="24"/>
    <x v="25"/>
    <x v="0"/>
  </r>
  <r>
    <x v="4"/>
    <x v="3"/>
    <x v="4"/>
    <x v="9"/>
    <x v="0"/>
    <x v="8"/>
    <x v="9"/>
    <x v="0"/>
  </r>
  <r>
    <x v="5"/>
    <x v="17"/>
    <x v="9"/>
    <x v="44"/>
    <x v="0"/>
    <x v="45"/>
    <x v="46"/>
    <x v="0"/>
  </r>
  <r>
    <x v="0"/>
    <x v="3"/>
    <x v="6"/>
    <x v="45"/>
    <x v="0"/>
    <x v="46"/>
    <x v="47"/>
    <x v="0"/>
  </r>
  <r>
    <x v="1"/>
    <x v="3"/>
    <x v="4"/>
    <x v="9"/>
    <x v="0"/>
    <x v="8"/>
    <x v="9"/>
    <x v="0"/>
  </r>
  <r>
    <x v="2"/>
    <x v="13"/>
    <x v="9"/>
    <x v="9"/>
    <x v="0"/>
    <x v="8"/>
    <x v="9"/>
    <x v="0"/>
  </r>
  <r>
    <x v="3"/>
    <x v="3"/>
    <x v="10"/>
    <x v="46"/>
    <x v="0"/>
    <x v="47"/>
    <x v="48"/>
    <x v="0"/>
  </r>
  <r>
    <x v="4"/>
    <x v="17"/>
    <x v="26"/>
    <x v="47"/>
    <x v="0"/>
    <x v="48"/>
    <x v="49"/>
    <x v="0"/>
  </r>
  <r>
    <x v="5"/>
    <x v="3"/>
    <x v="27"/>
    <x v="48"/>
    <x v="0"/>
    <x v="49"/>
    <x v="50"/>
    <x v="0"/>
  </r>
  <r>
    <x v="0"/>
    <x v="13"/>
    <x v="10"/>
    <x v="44"/>
    <x v="0"/>
    <x v="45"/>
    <x v="46"/>
    <x v="0"/>
  </r>
  <r>
    <x v="1"/>
    <x v="18"/>
    <x v="28"/>
    <x v="49"/>
    <x v="0"/>
    <x v="50"/>
    <x v="51"/>
    <x v="0"/>
  </r>
  <r>
    <x v="2"/>
    <x v="3"/>
    <x v="29"/>
    <x v="50"/>
    <x v="0"/>
    <x v="51"/>
    <x v="52"/>
    <x v="0"/>
  </r>
  <r>
    <x v="3"/>
    <x v="17"/>
    <x v="30"/>
    <x v="51"/>
    <x v="0"/>
    <x v="52"/>
    <x v="53"/>
    <x v="0"/>
  </r>
  <r>
    <x v="4"/>
    <x v="15"/>
    <x v="31"/>
    <x v="52"/>
    <x v="0"/>
    <x v="53"/>
    <x v="54"/>
    <x v="0"/>
  </r>
  <r>
    <x v="5"/>
    <x v="4"/>
    <x v="2"/>
    <x v="5"/>
    <x v="0"/>
    <x v="5"/>
    <x v="5"/>
    <x v="0"/>
  </r>
  <r>
    <x v="0"/>
    <x v="4"/>
    <x v="2"/>
    <x v="5"/>
    <x v="0"/>
    <x v="5"/>
    <x v="5"/>
    <x v="0"/>
  </r>
  <r>
    <x v="1"/>
    <x v="7"/>
    <x v="4"/>
    <x v="53"/>
    <x v="0"/>
    <x v="54"/>
    <x v="55"/>
    <x v="0"/>
  </r>
  <r>
    <x v="2"/>
    <x v="3"/>
    <x v="32"/>
    <x v="54"/>
    <x v="0"/>
    <x v="55"/>
    <x v="56"/>
    <x v="0"/>
  </r>
  <r>
    <x v="3"/>
    <x v="4"/>
    <x v="33"/>
    <x v="55"/>
    <x v="0"/>
    <x v="56"/>
    <x v="57"/>
    <x v="0"/>
  </r>
  <r>
    <x v="4"/>
    <x v="3"/>
    <x v="2"/>
    <x v="3"/>
    <x v="0"/>
    <x v="20"/>
    <x v="21"/>
    <x v="0"/>
  </r>
  <r>
    <x v="5"/>
    <x v="3"/>
    <x v="34"/>
    <x v="56"/>
    <x v="0"/>
    <x v="57"/>
    <x v="58"/>
    <x v="0"/>
  </r>
  <r>
    <x v="0"/>
    <x v="13"/>
    <x v="10"/>
    <x v="44"/>
    <x v="0"/>
    <x v="45"/>
    <x v="46"/>
    <x v="0"/>
  </r>
  <r>
    <x v="1"/>
    <x v="3"/>
    <x v="1"/>
    <x v="43"/>
    <x v="0"/>
    <x v="44"/>
    <x v="45"/>
    <x v="0"/>
  </r>
  <r>
    <x v="2"/>
    <x v="13"/>
    <x v="35"/>
    <x v="57"/>
    <x v="0"/>
    <x v="58"/>
    <x v="59"/>
    <x v="0"/>
  </r>
  <r>
    <x v="3"/>
    <x v="15"/>
    <x v="10"/>
    <x v="58"/>
    <x v="0"/>
    <x v="59"/>
    <x v="60"/>
    <x v="0"/>
  </r>
  <r>
    <x v="4"/>
    <x v="1"/>
    <x v="36"/>
    <x v="59"/>
    <x v="0"/>
    <x v="60"/>
    <x v="61"/>
    <x v="0"/>
  </r>
  <r>
    <x v="5"/>
    <x v="3"/>
    <x v="11"/>
    <x v="60"/>
    <x v="0"/>
    <x v="61"/>
    <x v="62"/>
    <x v="0"/>
  </r>
  <r>
    <x v="0"/>
    <x v="0"/>
    <x v="37"/>
    <x v="15"/>
    <x v="0"/>
    <x v="14"/>
    <x v="15"/>
    <x v="0"/>
  </r>
  <r>
    <x v="1"/>
    <x v="13"/>
    <x v="4"/>
    <x v="61"/>
    <x v="0"/>
    <x v="62"/>
    <x v="63"/>
    <x v="0"/>
  </r>
  <r>
    <x v="2"/>
    <x v="3"/>
    <x v="38"/>
    <x v="62"/>
    <x v="0"/>
    <x v="63"/>
    <x v="64"/>
    <x v="0"/>
  </r>
  <r>
    <x v="3"/>
    <x v="0"/>
    <x v="11"/>
    <x v="36"/>
    <x v="0"/>
    <x v="37"/>
    <x v="38"/>
    <x v="0"/>
  </r>
  <r>
    <x v="4"/>
    <x v="3"/>
    <x v="30"/>
    <x v="63"/>
    <x v="0"/>
    <x v="64"/>
    <x v="65"/>
    <x v="0"/>
  </r>
  <r>
    <x v="5"/>
    <x v="15"/>
    <x v="34"/>
    <x v="64"/>
    <x v="0"/>
    <x v="65"/>
    <x v="66"/>
    <x v="0"/>
  </r>
  <r>
    <x v="0"/>
    <x v="4"/>
    <x v="34"/>
    <x v="65"/>
    <x v="0"/>
    <x v="66"/>
    <x v="67"/>
    <x v="0"/>
  </r>
  <r>
    <x v="1"/>
    <x v="4"/>
    <x v="2"/>
    <x v="5"/>
    <x v="0"/>
    <x v="5"/>
    <x v="5"/>
    <x v="0"/>
  </r>
  <r>
    <x v="2"/>
    <x v="1"/>
    <x v="39"/>
    <x v="66"/>
    <x v="0"/>
    <x v="67"/>
    <x v="68"/>
    <x v="0"/>
  </r>
  <r>
    <x v="3"/>
    <x v="15"/>
    <x v="40"/>
    <x v="67"/>
    <x v="0"/>
    <x v="68"/>
    <x v="69"/>
    <x v="0"/>
  </r>
  <r>
    <x v="4"/>
    <x v="4"/>
    <x v="41"/>
    <x v="68"/>
    <x v="0"/>
    <x v="69"/>
    <x v="70"/>
    <x v="0"/>
  </r>
  <r>
    <x v="5"/>
    <x v="4"/>
    <x v="12"/>
    <x v="4"/>
    <x v="0"/>
    <x v="15"/>
    <x v="16"/>
    <x v="0"/>
  </r>
  <r>
    <x v="0"/>
    <x v="4"/>
    <x v="6"/>
    <x v="36"/>
    <x v="0"/>
    <x v="37"/>
    <x v="38"/>
    <x v="0"/>
  </r>
  <r>
    <x v="1"/>
    <x v="4"/>
    <x v="14"/>
    <x v="23"/>
    <x v="0"/>
    <x v="24"/>
    <x v="25"/>
    <x v="0"/>
  </r>
  <r>
    <x v="2"/>
    <x v="1"/>
    <x v="21"/>
    <x v="69"/>
    <x v="0"/>
    <x v="70"/>
    <x v="71"/>
    <x v="0"/>
  </r>
  <r>
    <x v="3"/>
    <x v="4"/>
    <x v="28"/>
    <x v="70"/>
    <x v="0"/>
    <x v="71"/>
    <x v="72"/>
    <x v="0"/>
  </r>
  <r>
    <x v="4"/>
    <x v="4"/>
    <x v="2"/>
    <x v="5"/>
    <x v="0"/>
    <x v="5"/>
    <x v="5"/>
    <x v="0"/>
  </r>
  <r>
    <x v="5"/>
    <x v="4"/>
    <x v="2"/>
    <x v="5"/>
    <x v="0"/>
    <x v="5"/>
    <x v="5"/>
    <x v="0"/>
  </r>
  <r>
    <x v="0"/>
    <x v="0"/>
    <x v="42"/>
    <x v="61"/>
    <x v="0"/>
    <x v="62"/>
    <x v="63"/>
    <x v="0"/>
  </r>
  <r>
    <x v="1"/>
    <x v="13"/>
    <x v="14"/>
    <x v="32"/>
    <x v="0"/>
    <x v="33"/>
    <x v="34"/>
    <x v="0"/>
  </r>
  <r>
    <x v="2"/>
    <x v="4"/>
    <x v="2"/>
    <x v="5"/>
    <x v="0"/>
    <x v="5"/>
    <x v="5"/>
    <x v="0"/>
  </r>
  <r>
    <x v="3"/>
    <x v="4"/>
    <x v="2"/>
    <x v="5"/>
    <x v="0"/>
    <x v="5"/>
    <x v="5"/>
    <x v="0"/>
  </r>
  <r>
    <x v="4"/>
    <x v="4"/>
    <x v="2"/>
    <x v="5"/>
    <x v="0"/>
    <x v="5"/>
    <x v="5"/>
    <x v="0"/>
  </r>
  <r>
    <x v="5"/>
    <x v="4"/>
    <x v="2"/>
    <x v="5"/>
    <x v="0"/>
    <x v="5"/>
    <x v="5"/>
    <x v="0"/>
  </r>
  <r>
    <x v="0"/>
    <x v="1"/>
    <x v="2"/>
    <x v="14"/>
    <x v="0"/>
    <x v="13"/>
    <x v="14"/>
    <x v="0"/>
  </r>
  <r>
    <x v="1"/>
    <x v="8"/>
    <x v="9"/>
    <x v="47"/>
    <x v="0"/>
    <x v="48"/>
    <x v="49"/>
    <x v="0"/>
  </r>
  <r>
    <x v="2"/>
    <x v="7"/>
    <x v="10"/>
    <x v="39"/>
    <x v="0"/>
    <x v="40"/>
    <x v="41"/>
    <x v="0"/>
  </r>
  <r>
    <x v="3"/>
    <x v="8"/>
    <x v="43"/>
    <x v="71"/>
    <x v="0"/>
    <x v="72"/>
    <x v="73"/>
    <x v="0"/>
  </r>
  <r>
    <x v="4"/>
    <x v="2"/>
    <x v="9"/>
    <x v="50"/>
    <x v="0"/>
    <x v="51"/>
    <x v="52"/>
    <x v="0"/>
  </r>
  <r>
    <x v="5"/>
    <x v="15"/>
    <x v="12"/>
    <x v="17"/>
    <x v="0"/>
    <x v="17"/>
    <x v="18"/>
    <x v="0"/>
  </r>
  <r>
    <x v="0"/>
    <x v="15"/>
    <x v="4"/>
    <x v="65"/>
    <x v="0"/>
    <x v="66"/>
    <x v="67"/>
    <x v="0"/>
  </r>
  <r>
    <x v="1"/>
    <x v="7"/>
    <x v="44"/>
    <x v="72"/>
    <x v="0"/>
    <x v="73"/>
    <x v="74"/>
    <x v="0"/>
  </r>
  <r>
    <x v="2"/>
    <x v="1"/>
    <x v="45"/>
    <x v="73"/>
    <x v="0"/>
    <x v="74"/>
    <x v="75"/>
    <x v="0"/>
  </r>
  <r>
    <x v="3"/>
    <x v="4"/>
    <x v="2"/>
    <x v="5"/>
    <x v="0"/>
    <x v="5"/>
    <x v="5"/>
    <x v="0"/>
  </r>
  <r>
    <x v="4"/>
    <x v="0"/>
    <x v="11"/>
    <x v="36"/>
    <x v="0"/>
    <x v="37"/>
    <x v="38"/>
    <x v="0"/>
  </r>
  <r>
    <x v="5"/>
    <x v="3"/>
    <x v="12"/>
    <x v="23"/>
    <x v="0"/>
    <x v="24"/>
    <x v="25"/>
    <x v="0"/>
  </r>
  <r>
    <x v="0"/>
    <x v="3"/>
    <x v="27"/>
    <x v="48"/>
    <x v="0"/>
    <x v="49"/>
    <x v="50"/>
    <x v="0"/>
  </r>
  <r>
    <x v="1"/>
    <x v="4"/>
    <x v="9"/>
    <x v="3"/>
    <x v="0"/>
    <x v="20"/>
    <x v="21"/>
    <x v="0"/>
  </r>
  <r>
    <x v="2"/>
    <x v="4"/>
    <x v="12"/>
    <x v="4"/>
    <x v="0"/>
    <x v="15"/>
    <x v="16"/>
    <x v="0"/>
  </r>
  <r>
    <x v="3"/>
    <x v="13"/>
    <x v="4"/>
    <x v="61"/>
    <x v="0"/>
    <x v="62"/>
    <x v="63"/>
    <x v="0"/>
  </r>
  <r>
    <x v="4"/>
    <x v="4"/>
    <x v="9"/>
    <x v="3"/>
    <x v="0"/>
    <x v="20"/>
    <x v="21"/>
    <x v="0"/>
  </r>
  <r>
    <x v="5"/>
    <x v="0"/>
    <x v="6"/>
    <x v="17"/>
    <x v="0"/>
    <x v="17"/>
    <x v="18"/>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11F77F6-5AFB-4996-BC8D-C46201C389FD}"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B3" firstHeaderRow="1" firstDataRow="1" firstDataCol="1"/>
  <pivotFields count="8">
    <pivotField axis="axisRow" showAll="0">
      <items count="8">
        <item h="1" x="3"/>
        <item h="1" x="0"/>
        <item h="1" x="1"/>
        <item h="1" x="5"/>
        <item h="1" x="4"/>
        <item h="1" x="2"/>
        <item f="1" x="6"/>
        <item t="default"/>
      </items>
    </pivotField>
    <pivotField dataField="1" showAll="0">
      <items count="20">
        <item x="4"/>
        <item h="1" x="0"/>
        <item h="1" x="3"/>
        <item h="1" x="13"/>
        <item h="1" x="15"/>
        <item h="1" x="17"/>
        <item h="1" x="1"/>
        <item h="1" x="16"/>
        <item h="1" x="2"/>
        <item h="1" x="11"/>
        <item h="1" x="6"/>
        <item h="1" x="7"/>
        <item h="1" x="8"/>
        <item h="1" x="18"/>
        <item h="1" x="5"/>
        <item h="1" x="12"/>
        <item h="1" x="9"/>
        <item h="1" x="10"/>
        <item h="1" x="14"/>
        <item t="default"/>
      </items>
    </pivotField>
    <pivotField showAll="0">
      <items count="47">
        <item x="36"/>
        <item x="41"/>
        <item x="33"/>
        <item x="40"/>
        <item x="39"/>
        <item x="32"/>
        <item x="2"/>
        <item x="7"/>
        <item x="28"/>
        <item x="44"/>
        <item x="12"/>
        <item x="8"/>
        <item x="21"/>
        <item x="11"/>
        <item x="9"/>
        <item x="38"/>
        <item x="13"/>
        <item x="4"/>
        <item x="10"/>
        <item x="19"/>
        <item x="6"/>
        <item x="16"/>
        <item x="30"/>
        <item x="35"/>
        <item x="14"/>
        <item x="26"/>
        <item x="31"/>
        <item x="24"/>
        <item x="27"/>
        <item x="20"/>
        <item x="42"/>
        <item x="29"/>
        <item x="1"/>
        <item x="37"/>
        <item x="34"/>
        <item x="3"/>
        <item x="25"/>
        <item x="23"/>
        <item x="18"/>
        <item x="15"/>
        <item x="22"/>
        <item x="5"/>
        <item x="0"/>
        <item x="45"/>
        <item x="43"/>
        <item x="17"/>
        <item t="default"/>
      </items>
    </pivotField>
    <pivotField showAll="0">
      <items count="75">
        <item x="68"/>
        <item x="55"/>
        <item x="5"/>
        <item x="18"/>
        <item x="70"/>
        <item x="4"/>
        <item h="1" x="59"/>
        <item h="1" x="19"/>
        <item h="1" x="21"/>
        <item h="1" x="54"/>
        <item h="1" x="67"/>
        <item h="1" x="3"/>
        <item h="1" x="22"/>
        <item h="1" x="37"/>
        <item h="1" x="20"/>
        <item h="1" x="36"/>
        <item h="1" x="66"/>
        <item h="1" x="23"/>
        <item h="1" x="40"/>
        <item h="1" x="14"/>
        <item h="1" x="60"/>
        <item h="1" x="25"/>
        <item h="1" x="2"/>
        <item h="1" x="62"/>
        <item h="1" x="17"/>
        <item h="1" x="8"/>
        <item h="1" x="9"/>
        <item h="1" x="10"/>
        <item h="1" x="46"/>
        <item h="1" x="45"/>
        <item h="1" x="61"/>
        <item h="1" x="69"/>
        <item h="1" x="63"/>
        <item h="1" x="41"/>
        <item h="1" x="44"/>
        <item h="1" x="30"/>
        <item h="1" x="65"/>
        <item h="1" x="48"/>
        <item h="1" x="72"/>
        <item h="1" x="15"/>
        <item h="1" x="58"/>
        <item h="1" x="57"/>
        <item h="1" x="32"/>
        <item h="1" x="11"/>
        <item h="1" x="33"/>
        <item h="1" x="50"/>
        <item h="1" x="49"/>
        <item h="1" x="43"/>
        <item h="1" x="52"/>
        <item h="1" x="51"/>
        <item h="1" x="47"/>
        <item h="1" x="31"/>
        <item h="1" x="24"/>
        <item h="1" x="53"/>
        <item h="1" x="39"/>
        <item h="1" x="56"/>
        <item h="1" x="27"/>
        <item h="1" x="1"/>
        <item h="1" x="26"/>
        <item h="1" x="64"/>
        <item h="1" x="0"/>
        <item h="1" x="29"/>
        <item h="1" x="42"/>
        <item h="1" x="7"/>
        <item h="1" x="34"/>
        <item h="1" x="16"/>
        <item h="1" x="13"/>
        <item h="1" x="35"/>
        <item h="1" x="6"/>
        <item h="1" x="38"/>
        <item h="1" x="73"/>
        <item h="1" x="71"/>
        <item h="1" x="12"/>
        <item h="1" x="28"/>
        <item t="default"/>
      </items>
    </pivotField>
    <pivotField showAll="0">
      <items count="2">
        <item x="0"/>
        <item t="default"/>
      </items>
    </pivotField>
    <pivotField showAll="0">
      <items count="76">
        <item h="1" x="69"/>
        <item h="1" x="56"/>
        <item x="5"/>
        <item h="1" x="18"/>
        <item h="1" x="71"/>
        <item h="1" x="15"/>
        <item h="1" x="60"/>
        <item h="1" x="19"/>
        <item h="1" x="22"/>
        <item h="1" x="55"/>
        <item h="1" x="68"/>
        <item h="1" x="20"/>
        <item h="1" x="23"/>
        <item h="1" x="38"/>
        <item h="1" x="21"/>
        <item h="1" x="37"/>
        <item h="1" x="67"/>
        <item h="1" x="24"/>
        <item h="1" x="41"/>
        <item h="1" x="13"/>
        <item h="1" x="61"/>
        <item h="1" x="26"/>
        <item h="1" x="63"/>
        <item h="1" x="17"/>
        <item h="1" x="7"/>
        <item h="1" x="8"/>
        <item h="1" x="9"/>
        <item h="1" x="47"/>
        <item h="1" x="46"/>
        <item h="1" x="62"/>
        <item h="1" x="70"/>
        <item h="1" x="64"/>
        <item h="1" x="42"/>
        <item h="1" x="45"/>
        <item h="1" x="31"/>
        <item h="1" x="66"/>
        <item h="1" x="49"/>
        <item h="1" x="73"/>
        <item h="1" x="14"/>
        <item h="1" x="59"/>
        <item h="1" x="58"/>
        <item h="1" x="33"/>
        <item h="1" x="10"/>
        <item h="1" x="34"/>
        <item h="1" x="51"/>
        <item h="1" x="50"/>
        <item h="1" x="44"/>
        <item h="1" x="53"/>
        <item h="1" x="52"/>
        <item h="1" x="48"/>
        <item h="1" x="32"/>
        <item h="1" x="25"/>
        <item h="1" x="54"/>
        <item h="1" x="40"/>
        <item h="1" x="57"/>
        <item h="1" x="28"/>
        <item h="1" x="27"/>
        <item h="1" x="65"/>
        <item h="1" x="30"/>
        <item h="1" x="43"/>
        <item h="1" x="4"/>
        <item h="1" x="35"/>
        <item h="1" x="16"/>
        <item h="1" x="12"/>
        <item h="1" x="36"/>
        <item h="1" x="3"/>
        <item h="1" x="6"/>
        <item h="1" x="39"/>
        <item h="1" x="74"/>
        <item h="1" x="2"/>
        <item h="1" x="72"/>
        <item h="1" x="11"/>
        <item h="1" x="29"/>
        <item h="1" x="1"/>
        <item h="1" x="0"/>
        <item t="default"/>
      </items>
    </pivotField>
    <pivotField showAll="0">
      <items count="77">
        <item h="1" x="70"/>
        <item h="1" x="57"/>
        <item x="5"/>
        <item h="1" x="19"/>
        <item h="1" x="72"/>
        <item h="1" x="16"/>
        <item h="1" x="61"/>
        <item h="1" x="20"/>
        <item h="1" x="23"/>
        <item h="1" x="56"/>
        <item h="1" x="69"/>
        <item h="1" x="21"/>
        <item h="1" x="24"/>
        <item h="1" x="39"/>
        <item h="1" x="22"/>
        <item h="1" x="38"/>
        <item h="1" x="68"/>
        <item h="1" x="25"/>
        <item h="1" x="42"/>
        <item h="1" x="14"/>
        <item h="1" x="62"/>
        <item h="1" x="27"/>
        <item h="1" x="64"/>
        <item h="1" x="18"/>
        <item h="1" x="8"/>
        <item h="1" x="9"/>
        <item h="1" x="10"/>
        <item h="1" x="48"/>
        <item h="1" x="47"/>
        <item h="1" x="63"/>
        <item h="1" x="71"/>
        <item h="1" x="65"/>
        <item h="1" x="43"/>
        <item h="1" x="46"/>
        <item h="1" x="32"/>
        <item h="1" x="67"/>
        <item h="1" x="50"/>
        <item h="1" x="74"/>
        <item h="1" x="15"/>
        <item h="1" x="60"/>
        <item h="1" x="59"/>
        <item h="1" x="34"/>
        <item h="1" x="11"/>
        <item h="1" x="35"/>
        <item h="1" x="52"/>
        <item h="1" x="51"/>
        <item h="1" x="45"/>
        <item h="1" x="4"/>
        <item h="1" x="54"/>
        <item h="1" x="53"/>
        <item h="1" x="49"/>
        <item h="1" x="33"/>
        <item h="1" x="26"/>
        <item h="1" x="55"/>
        <item h="1" x="3"/>
        <item h="1" x="41"/>
        <item h="1" x="58"/>
        <item h="1" x="29"/>
        <item h="1" x="28"/>
        <item h="1" x="66"/>
        <item h="1" x="31"/>
        <item h="1" x="2"/>
        <item h="1" x="44"/>
        <item h="1" x="7"/>
        <item h="1" x="36"/>
        <item h="1" x="17"/>
        <item h="1" x="13"/>
        <item h="1" x="37"/>
        <item h="1" x="6"/>
        <item h="1" x="40"/>
        <item h="1" x="75"/>
        <item h="1" x="1"/>
        <item h="1" x="73"/>
        <item h="1" x="12"/>
        <item h="1" x="0"/>
        <item h="1" x="30"/>
        <item t="default"/>
      </items>
    </pivotField>
    <pivotField showAll="0">
      <items count="2">
        <item x="0"/>
        <item t="default"/>
      </items>
    </pivotField>
  </pivotFields>
  <rowFields count="1">
    <field x="0"/>
  </rowFields>
  <rowItems count="2">
    <i>
      <x v="6"/>
    </i>
    <i t="grand">
      <x/>
    </i>
  </rowItems>
  <colItems count="1">
    <i/>
  </colItems>
  <dataFields count="1">
    <dataField name="Sum of Quantity" fld="1" baseField="0" baseItem="0"/>
  </dataFields>
  <chartFormats count="11">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0" count="1" selected="0">
            <x v="1"/>
          </reference>
        </references>
      </pivotArea>
    </chartFormat>
    <chartFormat chart="1" format="2">
      <pivotArea type="data" outline="0" fieldPosition="0">
        <references count="2">
          <reference field="4294967294" count="1" selected="0">
            <x v="0"/>
          </reference>
          <reference field="0" count="1" selected="0">
            <x v="2"/>
          </reference>
        </references>
      </pivotArea>
    </chartFormat>
    <chartFormat chart="1" format="3">
      <pivotArea type="data" outline="0" fieldPosition="0">
        <references count="2">
          <reference field="4294967294" count="1" selected="0">
            <x v="0"/>
          </reference>
          <reference field="0" count="1" selected="0">
            <x v="3"/>
          </reference>
        </references>
      </pivotArea>
    </chartFormat>
    <chartFormat chart="1" format="4">
      <pivotArea type="data" outline="0" fieldPosition="0">
        <references count="2">
          <reference field="4294967294" count="1" selected="0">
            <x v="0"/>
          </reference>
          <reference field="0" count="1" selected="0">
            <x v="4"/>
          </reference>
        </references>
      </pivotArea>
    </chartFormat>
    <chartFormat chart="1" format="5">
      <pivotArea type="data" outline="0" fieldPosition="0">
        <references count="2">
          <reference field="4294967294" count="1" selected="0">
            <x v="0"/>
          </reference>
          <reference field="0" count="1" selected="0">
            <x v="5"/>
          </reference>
        </references>
      </pivotArea>
    </chartFormat>
    <chartFormat chart="1" format="6">
      <pivotArea type="data" outline="0" fieldPosition="0">
        <references count="2">
          <reference field="4294967294" count="1" selected="0">
            <x v="0"/>
          </reference>
          <reference field="0" count="1" selected="0">
            <x v="0"/>
          </reference>
        </references>
      </pivotArea>
    </chartFormat>
    <chartFormat chart="3" format="11" series="1">
      <pivotArea type="data" outline="0" fieldPosition="0">
        <references count="1">
          <reference field="4294967294" count="1" selected="0">
            <x v="0"/>
          </reference>
        </references>
      </pivotArea>
    </chartFormat>
    <chartFormat chart="3" format="12">
      <pivotArea type="data" outline="0" fieldPosition="0">
        <references count="2">
          <reference field="4294967294" count="1" selected="0">
            <x v="0"/>
          </reference>
          <reference field="0" count="1" selected="0">
            <x v="0"/>
          </reference>
        </references>
      </pivotArea>
    </chartFormat>
    <chartFormat chart="3" format="13">
      <pivotArea type="data" outline="0" fieldPosition="0">
        <references count="2">
          <reference field="4294967294" count="1" selected="0">
            <x v="0"/>
          </reference>
          <reference field="0" count="1" selected="0">
            <x v="1"/>
          </reference>
        </references>
      </pivotArea>
    </chartFormat>
    <chartFormat chart="3" format="14">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E1B0FC2-41DA-43E0-8310-12F587121330}"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I13:J21" firstHeaderRow="1" firstDataRow="1" firstDataCol="1"/>
  <pivotFields count="8">
    <pivotField axis="axisRow" showAll="0">
      <items count="8">
        <item x="0"/>
        <item x="3"/>
        <item x="1"/>
        <item x="5"/>
        <item x="4"/>
        <item x="2"/>
        <item f="1" x="6"/>
        <item t="default"/>
      </items>
    </pivotField>
    <pivotField showAll="0"/>
    <pivotField showAll="0"/>
    <pivotField showAll="0"/>
    <pivotField dataField="1" showAll="0"/>
    <pivotField showAll="0"/>
    <pivotField showAll="0"/>
    <pivotField showAll="0"/>
  </pivotFields>
  <rowFields count="1">
    <field x="0"/>
  </rowFields>
  <rowItems count="8">
    <i>
      <x/>
    </i>
    <i>
      <x v="1"/>
    </i>
    <i>
      <x v="2"/>
    </i>
    <i>
      <x v="3"/>
    </i>
    <i>
      <x v="4"/>
    </i>
    <i>
      <x v="5"/>
    </i>
    <i>
      <x v="6"/>
    </i>
    <i t="grand">
      <x/>
    </i>
  </rowItems>
  <colItems count="1">
    <i/>
  </colItems>
  <dataFields count="1">
    <dataField name="Sum of GST %" fld="4" baseField="0" baseItem="0"/>
  </dataFields>
  <chartFormats count="2">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2AC3021-87DA-4146-89AA-3EF9E7B56B38}"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K2:L10" firstHeaderRow="1" firstDataRow="1" firstDataCol="1"/>
  <pivotFields count="8">
    <pivotField axis="axisRow" showAll="0">
      <items count="8">
        <item x="0"/>
        <item x="3"/>
        <item x="1"/>
        <item x="5"/>
        <item x="4"/>
        <item x="2"/>
        <item f="1" x="6"/>
        <item t="default"/>
      </items>
    </pivotField>
    <pivotField showAll="0"/>
    <pivotField showAll="0"/>
    <pivotField showAll="0"/>
    <pivotField showAll="0"/>
    <pivotField showAll="0"/>
    <pivotField dataField="1" showAll="0"/>
    <pivotField showAll="0"/>
  </pivotFields>
  <rowFields count="1">
    <field x="0"/>
  </rowFields>
  <rowItems count="8">
    <i>
      <x/>
    </i>
    <i>
      <x v="1"/>
    </i>
    <i>
      <x v="2"/>
    </i>
    <i>
      <x v="3"/>
    </i>
    <i>
      <x v="4"/>
    </i>
    <i>
      <x v="5"/>
    </i>
    <i>
      <x v="6"/>
    </i>
    <i t="grand">
      <x/>
    </i>
  </rowItems>
  <colItems count="1">
    <i/>
  </colItems>
  <dataFields count="1">
    <dataField name="Sum of Total Amount" fld="6" baseField="0" baseItem="0"/>
  </dataFields>
  <chartFormats count="1">
    <chartFormat chart="1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C56C502-30B9-4FF9-8C9C-5AA8A7236159}"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H2:I10" firstHeaderRow="1" firstDataRow="1" firstDataCol="1"/>
  <pivotFields count="8">
    <pivotField axis="axisRow" showAll="0">
      <items count="8">
        <item x="0"/>
        <item x="3"/>
        <item x="1"/>
        <item x="5"/>
        <item x="4"/>
        <item x="2"/>
        <item f="1" x="6"/>
        <item t="default"/>
      </items>
    </pivotField>
    <pivotField showAll="0"/>
    <pivotField showAll="0"/>
    <pivotField showAll="0"/>
    <pivotField showAll="0"/>
    <pivotField dataField="1" showAll="0"/>
    <pivotField showAll="0"/>
    <pivotField showAll="0"/>
  </pivotFields>
  <rowFields count="1">
    <field x="0"/>
  </rowFields>
  <rowItems count="8">
    <i>
      <x/>
    </i>
    <i>
      <x v="1"/>
    </i>
    <i>
      <x v="2"/>
    </i>
    <i>
      <x v="3"/>
    </i>
    <i>
      <x v="4"/>
    </i>
    <i>
      <x v="5"/>
    </i>
    <i>
      <x v="6"/>
    </i>
    <i t="grand">
      <x/>
    </i>
  </rowItems>
  <colItems count="1">
    <i/>
  </colItems>
  <dataFields count="1">
    <dataField name="Sum of GST Amount" fld="5" baseField="0" baseItem="0"/>
  </dataField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22351AF-006E-4A4E-A947-FF9CBD79A1F0}"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E5:F13" firstHeaderRow="1" firstDataRow="1" firstDataCol="1"/>
  <pivotFields count="8">
    <pivotField axis="axisRow" showAll="0">
      <items count="8">
        <item x="0"/>
        <item x="3"/>
        <item x="1"/>
        <item x="5"/>
        <item x="4"/>
        <item x="2"/>
        <item f="1" x="6"/>
        <item t="default"/>
      </items>
    </pivotField>
    <pivotField showAll="0"/>
    <pivotField dataField="1" showAll="0"/>
    <pivotField showAll="0"/>
    <pivotField showAll="0"/>
    <pivotField showAll="0"/>
    <pivotField showAll="0"/>
    <pivotField showAll="0"/>
  </pivotFields>
  <rowFields count="1">
    <field x="0"/>
  </rowFields>
  <rowItems count="8">
    <i>
      <x/>
    </i>
    <i>
      <x v="1"/>
    </i>
    <i>
      <x v="2"/>
    </i>
    <i>
      <x v="3"/>
    </i>
    <i>
      <x v="4"/>
    </i>
    <i>
      <x v="5"/>
    </i>
    <i>
      <x v="6"/>
    </i>
    <i t="grand">
      <x/>
    </i>
  </rowItems>
  <colItems count="1">
    <i/>
  </colItems>
  <dataFields count="1">
    <dataField name="Sum of Rate" fld="2" baseField="0" baseItem="0"/>
  </dataFields>
  <chartFormats count="2">
    <chartFormat chart="11"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ST_Amount" xr10:uid="{437A4BE6-2C78-4C44-9FB9-F3567D22F105}" sourceName="GST Amount">
  <pivotTables>
    <pivotTable tabId="10" name="PivotTable5"/>
  </pivotTables>
  <data>
    <tabular pivotCacheId="1852306699">
      <items count="75">
        <i x="69"/>
        <i x="56"/>
        <i x="5" s="1"/>
        <i x="18"/>
        <i x="71"/>
        <i x="15"/>
        <i x="60"/>
        <i x="19"/>
        <i x="22"/>
        <i x="55"/>
        <i x="68"/>
        <i x="20"/>
        <i x="23"/>
        <i x="38"/>
        <i x="21"/>
        <i x="37"/>
        <i x="67"/>
        <i x="24"/>
        <i x="41"/>
        <i x="13"/>
        <i x="61"/>
        <i x="26"/>
        <i x="63"/>
        <i x="17"/>
        <i x="7"/>
        <i x="8"/>
        <i x="9"/>
        <i x="47"/>
        <i x="46"/>
        <i x="62"/>
        <i x="70"/>
        <i x="64"/>
        <i x="42"/>
        <i x="45"/>
        <i x="31"/>
        <i x="66"/>
        <i x="49"/>
        <i x="73"/>
        <i x="14"/>
        <i x="59"/>
        <i x="58"/>
        <i x="33"/>
        <i x="10"/>
        <i x="34"/>
        <i x="51"/>
        <i x="50"/>
        <i x="44"/>
        <i x="53"/>
        <i x="52"/>
        <i x="48"/>
        <i x="32"/>
        <i x="25"/>
        <i x="54"/>
        <i x="40"/>
        <i x="57"/>
        <i x="28"/>
        <i x="27"/>
        <i x="65"/>
        <i x="30"/>
        <i x="43"/>
        <i x="4"/>
        <i x="35"/>
        <i x="16"/>
        <i x="12"/>
        <i x="36"/>
        <i x="3"/>
        <i x="6"/>
        <i x="39"/>
        <i x="74"/>
        <i x="2"/>
        <i x="72"/>
        <i x="11"/>
        <i x="29"/>
        <i x="1"/>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tal_Amount" xr10:uid="{CC2DCA46-C0D5-458B-8A20-E44C6F950129}" sourceName="Total Amount">
  <pivotTables>
    <pivotTable tabId="10" name="PivotTable5"/>
  </pivotTables>
  <data>
    <tabular pivotCacheId="1852306699">
      <items count="76">
        <i x="70"/>
        <i x="57"/>
        <i x="5" s="1"/>
        <i x="19"/>
        <i x="72"/>
        <i x="16"/>
        <i x="61"/>
        <i x="20"/>
        <i x="23"/>
        <i x="56"/>
        <i x="69"/>
        <i x="21"/>
        <i x="24"/>
        <i x="39"/>
        <i x="22"/>
        <i x="38"/>
        <i x="68"/>
        <i x="25"/>
        <i x="42"/>
        <i x="14"/>
        <i x="62"/>
        <i x="27"/>
        <i x="64"/>
        <i x="18"/>
        <i x="8"/>
        <i x="9"/>
        <i x="10"/>
        <i x="48"/>
        <i x="47"/>
        <i x="63"/>
        <i x="71"/>
        <i x="65"/>
        <i x="43"/>
        <i x="46"/>
        <i x="32"/>
        <i x="67"/>
        <i x="50"/>
        <i x="74"/>
        <i x="15"/>
        <i x="60"/>
        <i x="59"/>
        <i x="34"/>
        <i x="11"/>
        <i x="35"/>
        <i x="52"/>
        <i x="51"/>
        <i x="45"/>
        <i x="4"/>
        <i x="54"/>
        <i x="53"/>
        <i x="49"/>
        <i x="33"/>
        <i x="26"/>
        <i x="55"/>
        <i x="3"/>
        <i x="41"/>
        <i x="58"/>
        <i x="29"/>
        <i x="28"/>
        <i x="66"/>
        <i x="31"/>
        <i x="2"/>
        <i x="44"/>
        <i x="7"/>
        <i x="36"/>
        <i x="17"/>
        <i x="13"/>
        <i x="37"/>
        <i x="6"/>
        <i x="40"/>
        <i x="75"/>
        <i x="1"/>
        <i x="73"/>
        <i x="12"/>
        <i x="0"/>
        <i x="30"/>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e" xr10:uid="{029E208E-2535-42EC-B810-B5400D5F1610}" sourceName="Rate">
  <pivotTables>
    <pivotTable tabId="10" name="PivotTable5"/>
  </pivotTables>
  <data>
    <tabular pivotCacheId="1852306699">
      <items count="46">
        <i x="36" s="1"/>
        <i x="41" s="1"/>
        <i x="33" s="1"/>
        <i x="40" s="1"/>
        <i x="39" s="1"/>
        <i x="32" s="1"/>
        <i x="2" s="1"/>
        <i x="7" s="1"/>
        <i x="28" s="1"/>
        <i x="44" s="1"/>
        <i x="12" s="1"/>
        <i x="8" s="1"/>
        <i x="21" s="1"/>
        <i x="11" s="1"/>
        <i x="9" s="1"/>
        <i x="38" s="1"/>
        <i x="13" s="1"/>
        <i x="4" s="1"/>
        <i x="10" s="1"/>
        <i x="19" s="1"/>
        <i x="6" s="1"/>
        <i x="16" s="1"/>
        <i x="30" s="1"/>
        <i x="35" s="1"/>
        <i x="14" s="1"/>
        <i x="26" s="1"/>
        <i x="31" s="1"/>
        <i x="24" s="1"/>
        <i x="27" s="1"/>
        <i x="20" s="1"/>
        <i x="42" s="1"/>
        <i x="29" s="1"/>
        <i x="1" s="1"/>
        <i x="37" s="1"/>
        <i x="34" s="1"/>
        <i x="3" s="1"/>
        <i x="25" s="1"/>
        <i x="23" s="1"/>
        <i x="18" s="1"/>
        <i x="15" s="1"/>
        <i x="22" s="1"/>
        <i x="5" s="1"/>
        <i x="0" s="1"/>
        <i x="45" s="1"/>
        <i x="43" s="1"/>
        <i x="17"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mount" xr10:uid="{9078948C-E0CE-46AA-B770-ADA7568D6F49}" sourceName="Amount">
  <pivotTables>
    <pivotTable tabId="10" name="PivotTable5"/>
  </pivotTables>
  <data>
    <tabular pivotCacheId="1852306699">
      <items count="74">
        <i x="68" s="1"/>
        <i x="55" s="1"/>
        <i x="5" s="1"/>
        <i x="18" s="1"/>
        <i x="70" s="1"/>
        <i x="4" s="1"/>
        <i x="59"/>
        <i x="19"/>
        <i x="21"/>
        <i x="54"/>
        <i x="67"/>
        <i x="3"/>
        <i x="22"/>
        <i x="37"/>
        <i x="20"/>
        <i x="36"/>
        <i x="66"/>
        <i x="23"/>
        <i x="40"/>
        <i x="14"/>
        <i x="60"/>
        <i x="25"/>
        <i x="2"/>
        <i x="62"/>
        <i x="17"/>
        <i x="8"/>
        <i x="9"/>
        <i x="10"/>
        <i x="46"/>
        <i x="45"/>
        <i x="61"/>
        <i x="69"/>
        <i x="63"/>
        <i x="41"/>
        <i x="44"/>
        <i x="30"/>
        <i x="65"/>
        <i x="48"/>
        <i x="72"/>
        <i x="15"/>
        <i x="58"/>
        <i x="57"/>
        <i x="32"/>
        <i x="11"/>
        <i x="33"/>
        <i x="50"/>
        <i x="49"/>
        <i x="43"/>
        <i x="52"/>
        <i x="51"/>
        <i x="47"/>
        <i x="31"/>
        <i x="24"/>
        <i x="53"/>
        <i x="39"/>
        <i x="56"/>
        <i x="27"/>
        <i x="1"/>
        <i x="26"/>
        <i x="64"/>
        <i x="0"/>
        <i x="29"/>
        <i x="42"/>
        <i x="7"/>
        <i x="34"/>
        <i x="16"/>
        <i x="13"/>
        <i x="35"/>
        <i x="6"/>
        <i x="38"/>
        <i x="73"/>
        <i x="71"/>
        <i x="12"/>
        <i x="28"/>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ST" xr10:uid="{F44E7164-E65B-419C-B26C-BDD3D24AC9CC}" sourceName="GST %">
  <pivotTables>
    <pivotTable tabId="10" name="PivotTable5"/>
  </pivotTables>
  <data>
    <tabular pivotCacheId="1852306699">
      <items count="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F45ADCE3-5AA2-4BEE-BD01-5DB7673997C4}" sourceName="Product Name">
  <pivotTables>
    <pivotTable tabId="10" name="PivotTable5"/>
  </pivotTables>
  <data>
    <tabular pivotCacheId="1852306699">
      <items count="7">
        <i x="6" s="1"/>
        <i x="3"/>
        <i x="0"/>
        <i x="1"/>
        <i x="5"/>
        <i x="4"/>
        <i x="2"/>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ST Amount" xr10:uid="{49958C65-0299-4782-A8AC-33A510ED60F7}" cache="Slicer_GST_Amount" caption="GST Amount" columnCount="2" rowHeight="234950"/>
  <slicer name="Total Amount" xr10:uid="{2131C95D-0203-4EAE-B121-96C14E4C5B44}" cache="Slicer_Total_Amount" caption="Total Amount" columnCount="2" rowHeight="234950"/>
  <slicer name="Rate" xr10:uid="{FA4E793D-9E07-4A05-BE0A-ADA43E292BBE}" cache="Slicer_Rate" caption="Rate" rowHeight="234950"/>
  <slicer name="Amount" xr10:uid="{33F39C45-5482-44DE-9D19-4A794D9AE10D}" cache="Slicer_Amount" caption="Amount" rowHeight="234950"/>
  <slicer name="GST %" xr10:uid="{2ECAC5E6-5655-44FE-B3CA-842EC55279FF}" cache="Slicer_GST" caption="GST %" rowHeight="234950"/>
  <slicer name="Product Name" xr10:uid="{63336CDF-5461-4CA3-947C-E6D63AFA74C9}" cache="Slicer_Product_Name" caption="Product Name" columnCount="2" showCaption="0"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ST Amount 1" xr10:uid="{7F9BA8C9-ED54-4544-8FB2-8E524EF61B16}" cache="Slicer_GST_Amount" caption="GST Amount" columnCount="2" rowHeight="234950"/>
  <slicer name="Total Amount 1" xr10:uid="{10713766-7FB4-40FB-9EB1-525478D66BFD}" cache="Slicer_Total_Amount" caption="Total Amount" startItem="54" columnCount="2" rowHeight="234950"/>
  <slicer name="Product Name 1" xr10:uid="{737F760D-3F6D-4F29-9347-4C1A917681D2}" cache="Slicer_Product_Name" caption="Product Name" columnCount="2" showCaption="0"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2.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E05DF8-91DE-4522-BF45-0F4FCD13BB81}">
  <dimension ref="A1:W13"/>
  <sheetViews>
    <sheetView workbookViewId="0">
      <selection activeCell="B14" sqref="B14"/>
    </sheetView>
  </sheetViews>
  <sheetFormatPr defaultRowHeight="14.4" x14ac:dyDescent="0.3"/>
  <sheetData>
    <row r="1" spans="1:23" ht="91.8" x14ac:dyDescent="1.65">
      <c r="A1" s="5"/>
      <c r="B1" s="6"/>
      <c r="C1" s="6"/>
      <c r="D1" s="6"/>
      <c r="E1" s="6"/>
      <c r="F1" s="12" t="s">
        <v>365</v>
      </c>
      <c r="G1" s="12"/>
      <c r="H1" s="12"/>
      <c r="I1" s="11"/>
      <c r="J1" s="11"/>
      <c r="K1" s="11"/>
      <c r="L1" s="11"/>
      <c r="M1" s="6"/>
      <c r="N1" s="6"/>
      <c r="O1" s="7"/>
      <c r="P1" s="7"/>
      <c r="Q1" s="7"/>
      <c r="R1" s="7"/>
      <c r="S1" s="7"/>
      <c r="T1" s="7"/>
      <c r="U1" s="7"/>
      <c r="V1" s="7"/>
      <c r="W1" s="7"/>
    </row>
    <row r="2" spans="1:23" x14ac:dyDescent="0.3">
      <c r="A2" t="s">
        <v>326</v>
      </c>
      <c r="C2" t="str">
        <f>VLOOKUP('product master'!B2,'product master'!B1:D7,1,FALSE)</f>
        <v>laptop</v>
      </c>
    </row>
    <row r="3" spans="1:23" x14ac:dyDescent="0.3">
      <c r="A3" t="s">
        <v>325</v>
      </c>
      <c r="B3">
        <f>VLOOKUP('product master'!B2,'product master'!B2:D7,2,FALSE)</f>
        <v>60000</v>
      </c>
    </row>
    <row r="4" spans="1:23" x14ac:dyDescent="0.3">
      <c r="A4" t="s">
        <v>328</v>
      </c>
      <c r="B4">
        <f>VLOOKUP('product master'!B2,'product master'!B2:D7,3,FALSE)</f>
        <v>18</v>
      </c>
    </row>
    <row r="7" spans="1:23" ht="31.2" x14ac:dyDescent="0.6">
      <c r="E7" s="13" t="s">
        <v>366</v>
      </c>
      <c r="F7" s="14"/>
      <c r="G7" s="9"/>
      <c r="H7" s="9"/>
      <c r="I7" s="9"/>
      <c r="J7" s="10"/>
    </row>
    <row r="8" spans="1:23" x14ac:dyDescent="0.3">
      <c r="A8" t="s">
        <v>326</v>
      </c>
      <c r="C8" t="str">
        <f>HLOOKUP('product master'!B2,'product master'!B2:D7,2,FALSE)</f>
        <v>mouse</v>
      </c>
      <c r="G8" s="8"/>
    </row>
    <row r="9" spans="1:23" x14ac:dyDescent="0.3">
      <c r="A9" t="s">
        <v>325</v>
      </c>
      <c r="C9">
        <v>800</v>
      </c>
    </row>
    <row r="10" spans="1:23" x14ac:dyDescent="0.3">
      <c r="A10" t="s">
        <v>328</v>
      </c>
      <c r="C10">
        <v>18</v>
      </c>
    </row>
    <row r="11" spans="1:23" ht="31.2" x14ac:dyDescent="0.6">
      <c r="G11" s="15" t="s">
        <v>367</v>
      </c>
      <c r="H11" s="8"/>
    </row>
    <row r="13" spans="1:23" x14ac:dyDescent="0.3">
      <c r="A13" t="s">
        <v>369</v>
      </c>
      <c r="B13">
        <f>INDEX('Invoice Billing'!$H$2:$H$151,MATCH('Invoice Billing'!E2,'Invoice Billing'!$E$2:$E$151,0))</f>
        <v>120000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A0E3F-B10A-45C9-8836-157A3D073E01}">
  <dimension ref="A1"/>
  <sheetViews>
    <sheetView workbookViewId="0">
      <selection activeCell="N1" sqref="N1:N3"/>
    </sheetView>
  </sheetViews>
  <sheetFormatPr defaultRowHeight="14.4" x14ac:dyDescent="0.3"/>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CE7EE-9D2A-4027-B588-9D724151EF1A}">
  <dimension ref="A1:L21"/>
  <sheetViews>
    <sheetView workbookViewId="0">
      <selection activeCell="D16" sqref="D16"/>
    </sheetView>
  </sheetViews>
  <sheetFormatPr defaultRowHeight="14.4" x14ac:dyDescent="0.3"/>
  <cols>
    <col min="1" max="1" width="12.5546875" bestFit="1" customWidth="1"/>
    <col min="2" max="2" width="14.88671875" bestFit="1" customWidth="1"/>
    <col min="5" max="5" width="12.5546875" bestFit="1" customWidth="1"/>
    <col min="6" max="6" width="11.21875" bestFit="1" customWidth="1"/>
    <col min="8" max="8" width="12.5546875" bestFit="1" customWidth="1"/>
    <col min="9" max="9" width="18.21875" bestFit="1" customWidth="1"/>
    <col min="10" max="11" width="12.5546875" bestFit="1" customWidth="1"/>
    <col min="12" max="12" width="19.21875" bestFit="1" customWidth="1"/>
  </cols>
  <sheetData>
    <row r="1" spans="1:12" x14ac:dyDescent="0.3">
      <c r="A1" s="3" t="s">
        <v>358</v>
      </c>
      <c r="B1" t="s">
        <v>360</v>
      </c>
    </row>
    <row r="2" spans="1:12" x14ac:dyDescent="0.3">
      <c r="A2" s="4" t="s">
        <v>368</v>
      </c>
      <c r="B2" s="17"/>
      <c r="H2" s="3" t="s">
        <v>358</v>
      </c>
      <c r="I2" t="s">
        <v>363</v>
      </c>
      <c r="K2" s="3" t="s">
        <v>358</v>
      </c>
      <c r="L2" t="s">
        <v>364</v>
      </c>
    </row>
    <row r="3" spans="1:12" x14ac:dyDescent="0.3">
      <c r="A3" s="4" t="s">
        <v>359</v>
      </c>
      <c r="B3" s="17"/>
      <c r="H3" s="4" t="s">
        <v>15</v>
      </c>
      <c r="I3">
        <v>2766204</v>
      </c>
      <c r="K3" s="4" t="s">
        <v>15</v>
      </c>
      <c r="L3">
        <v>6254004</v>
      </c>
    </row>
    <row r="4" spans="1:12" x14ac:dyDescent="0.3">
      <c r="H4" s="4" t="s">
        <v>28</v>
      </c>
      <c r="I4">
        <v>311733</v>
      </c>
      <c r="K4" s="4" t="s">
        <v>28</v>
      </c>
      <c r="L4">
        <v>1746583</v>
      </c>
    </row>
    <row r="5" spans="1:12" x14ac:dyDescent="0.3">
      <c r="E5" s="3" t="s">
        <v>358</v>
      </c>
      <c r="F5" t="s">
        <v>361</v>
      </c>
      <c r="H5" s="4" t="s">
        <v>20</v>
      </c>
      <c r="I5">
        <v>1401156</v>
      </c>
      <c r="K5" s="4" t="s">
        <v>20</v>
      </c>
      <c r="L5">
        <v>2255356</v>
      </c>
    </row>
    <row r="6" spans="1:12" x14ac:dyDescent="0.3">
      <c r="E6" s="4" t="s">
        <v>15</v>
      </c>
      <c r="F6">
        <v>507800</v>
      </c>
      <c r="H6" s="4" t="s">
        <v>36</v>
      </c>
      <c r="I6">
        <v>1010610</v>
      </c>
      <c r="K6" s="4" t="s">
        <v>36</v>
      </c>
      <c r="L6">
        <v>6625110</v>
      </c>
    </row>
    <row r="7" spans="1:12" x14ac:dyDescent="0.3">
      <c r="E7" s="4" t="s">
        <v>28</v>
      </c>
      <c r="F7">
        <v>146030</v>
      </c>
      <c r="H7" s="4" t="s">
        <v>32</v>
      </c>
      <c r="I7">
        <v>85527</v>
      </c>
      <c r="K7" s="4" t="s">
        <v>32</v>
      </c>
      <c r="L7">
        <v>362677</v>
      </c>
    </row>
    <row r="8" spans="1:12" x14ac:dyDescent="0.3">
      <c r="E8" s="4" t="s">
        <v>20</v>
      </c>
      <c r="F8">
        <v>127800</v>
      </c>
      <c r="H8" s="4" t="s">
        <v>24</v>
      </c>
      <c r="I8">
        <v>305569.8</v>
      </c>
      <c r="K8" s="4" t="s">
        <v>24</v>
      </c>
      <c r="L8">
        <v>1112179.8</v>
      </c>
    </row>
    <row r="9" spans="1:12" x14ac:dyDescent="0.3">
      <c r="E9" s="4" t="s">
        <v>36</v>
      </c>
      <c r="F9">
        <v>297500</v>
      </c>
      <c r="H9" s="4" t="s">
        <v>368</v>
      </c>
      <c r="K9" s="4" t="s">
        <v>368</v>
      </c>
    </row>
    <row r="10" spans="1:12" x14ac:dyDescent="0.3">
      <c r="E10" s="4" t="s">
        <v>32</v>
      </c>
      <c r="F10">
        <v>57350</v>
      </c>
      <c r="H10" s="4" t="s">
        <v>359</v>
      </c>
      <c r="I10">
        <v>5880799.7999999998</v>
      </c>
      <c r="K10" s="4" t="s">
        <v>359</v>
      </c>
      <c r="L10">
        <v>18355909.800000001</v>
      </c>
    </row>
    <row r="11" spans="1:12" x14ac:dyDescent="0.3">
      <c r="E11" s="4" t="s">
        <v>24</v>
      </c>
      <c r="F11">
        <v>140430</v>
      </c>
    </row>
    <row r="12" spans="1:12" x14ac:dyDescent="0.3">
      <c r="E12" s="4" t="s">
        <v>368</v>
      </c>
    </row>
    <row r="13" spans="1:12" x14ac:dyDescent="0.3">
      <c r="E13" s="4" t="s">
        <v>359</v>
      </c>
      <c r="F13">
        <v>1276910</v>
      </c>
      <c r="I13" s="3" t="s">
        <v>358</v>
      </c>
      <c r="J13" t="s">
        <v>362</v>
      </c>
    </row>
    <row r="14" spans="1:12" x14ac:dyDescent="0.3">
      <c r="I14" s="4" t="s">
        <v>15</v>
      </c>
      <c r="J14">
        <v>450</v>
      </c>
    </row>
    <row r="15" spans="1:12" x14ac:dyDescent="0.3">
      <c r="I15" s="4" t="s">
        <v>28</v>
      </c>
      <c r="J15">
        <v>450</v>
      </c>
    </row>
    <row r="16" spans="1:12" x14ac:dyDescent="0.3">
      <c r="I16" s="4" t="s">
        <v>20</v>
      </c>
      <c r="J16">
        <v>450</v>
      </c>
    </row>
    <row r="17" spans="9:10" x14ac:dyDescent="0.3">
      <c r="I17" s="4" t="s">
        <v>36</v>
      </c>
      <c r="J17">
        <v>450</v>
      </c>
    </row>
    <row r="18" spans="9:10" x14ac:dyDescent="0.3">
      <c r="I18" s="4" t="s">
        <v>32</v>
      </c>
      <c r="J18">
        <v>450</v>
      </c>
    </row>
    <row r="19" spans="9:10" x14ac:dyDescent="0.3">
      <c r="I19" s="4" t="s">
        <v>24</v>
      </c>
      <c r="J19">
        <v>450</v>
      </c>
    </row>
    <row r="20" spans="9:10" x14ac:dyDescent="0.3">
      <c r="I20" s="4" t="s">
        <v>368</v>
      </c>
    </row>
    <row r="21" spans="9:10" x14ac:dyDescent="0.3">
      <c r="I21" s="4" t="s">
        <v>359</v>
      </c>
      <c r="J21">
        <v>2700</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87A289-4D95-4A45-B2CA-0EE62D1D5FA4}">
  <dimension ref="C2"/>
  <sheetViews>
    <sheetView tabSelected="1" topLeftCell="A4" workbookViewId="0">
      <selection activeCell="D16" sqref="D16"/>
    </sheetView>
  </sheetViews>
  <sheetFormatPr defaultRowHeight="14.4" x14ac:dyDescent="0.3"/>
  <sheetData>
    <row r="2" spans="3:3" x14ac:dyDescent="0.3">
      <c r="C2" s="1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51"/>
  <sheetViews>
    <sheetView topLeftCell="E124" workbookViewId="0">
      <selection activeCell="E2" sqref="E2"/>
    </sheetView>
  </sheetViews>
  <sheetFormatPr defaultRowHeight="14.4" x14ac:dyDescent="0.3"/>
  <cols>
    <col min="1" max="12" width="18" customWidth="1"/>
  </cols>
  <sheetData>
    <row r="1" spans="1:12" x14ac:dyDescent="0.3">
      <c r="A1" s="2" t="s">
        <v>0</v>
      </c>
      <c r="B1" s="2" t="s">
        <v>1</v>
      </c>
      <c r="C1" s="2" t="s">
        <v>2</v>
      </c>
      <c r="D1" s="2" t="s">
        <v>3</v>
      </c>
      <c r="E1" s="2" t="s">
        <v>4</v>
      </c>
      <c r="F1" s="2" t="s">
        <v>5</v>
      </c>
      <c r="G1" s="2" t="s">
        <v>6</v>
      </c>
      <c r="H1" s="2" t="s">
        <v>7</v>
      </c>
      <c r="I1" s="2" t="s">
        <v>8</v>
      </c>
      <c r="J1" s="2" t="s">
        <v>9</v>
      </c>
      <c r="K1" s="2" t="s">
        <v>10</v>
      </c>
      <c r="L1" s="2" t="s">
        <v>11</v>
      </c>
    </row>
    <row r="2" spans="1:12" x14ac:dyDescent="0.3">
      <c r="A2" t="s">
        <v>12</v>
      </c>
      <c r="B2" s="1">
        <v>46023</v>
      </c>
      <c r="C2" t="s">
        <v>13</v>
      </c>
      <c r="D2" t="s">
        <v>14</v>
      </c>
      <c r="E2" s="19" t="s">
        <v>329</v>
      </c>
      <c r="F2" s="18">
        <v>2</v>
      </c>
      <c r="G2" s="18">
        <v>60000</v>
      </c>
      <c r="H2" s="18">
        <f>F2*G2</f>
        <v>120000</v>
      </c>
      <c r="I2" s="20">
        <v>18</v>
      </c>
      <c r="J2" s="18">
        <f>H2*I2</f>
        <v>2160000</v>
      </c>
      <c r="K2" s="18">
        <f>H2+J2</f>
        <v>2280000</v>
      </c>
      <c r="L2" s="18" t="s">
        <v>16</v>
      </c>
    </row>
    <row r="3" spans="1:12" x14ac:dyDescent="0.3">
      <c r="A3" t="s">
        <v>17</v>
      </c>
      <c r="B3" s="1">
        <v>46024</v>
      </c>
      <c r="C3" t="s">
        <v>18</v>
      </c>
      <c r="D3" t="s">
        <v>19</v>
      </c>
      <c r="E3" s="19" t="s">
        <v>20</v>
      </c>
      <c r="F3" s="18">
        <v>7</v>
      </c>
      <c r="G3" s="18">
        <v>10000</v>
      </c>
      <c r="H3" s="18">
        <f t="shared" ref="H3:H33" si="0">F3*G3</f>
        <v>70000</v>
      </c>
      <c r="I3" s="18">
        <v>18</v>
      </c>
      <c r="J3" s="18">
        <f>H3*I3</f>
        <v>1260000</v>
      </c>
      <c r="K3" s="18">
        <f t="shared" ref="K3:K33" si="1">H3+J3</f>
        <v>1330000</v>
      </c>
      <c r="L3" s="18" t="s">
        <v>16</v>
      </c>
    </row>
    <row r="4" spans="1:12" x14ac:dyDescent="0.3">
      <c r="A4" t="s">
        <v>21</v>
      </c>
      <c r="B4" s="1">
        <v>46025</v>
      </c>
      <c r="C4" t="s">
        <v>22</v>
      </c>
      <c r="D4" t="s">
        <v>23</v>
      </c>
      <c r="E4" s="19" t="s">
        <v>24</v>
      </c>
      <c r="F4" s="18">
        <v>9</v>
      </c>
      <c r="G4" s="18">
        <v>1000</v>
      </c>
      <c r="H4" s="18">
        <f t="shared" si="0"/>
        <v>9000</v>
      </c>
      <c r="I4" s="18">
        <v>18</v>
      </c>
      <c r="J4" s="18">
        <f>H4*I4</f>
        <v>162000</v>
      </c>
      <c r="K4" s="18">
        <f t="shared" si="1"/>
        <v>171000</v>
      </c>
      <c r="L4" s="18" t="s">
        <v>16</v>
      </c>
    </row>
    <row r="5" spans="1:12" x14ac:dyDescent="0.3">
      <c r="A5" t="s">
        <v>25</v>
      </c>
      <c r="B5" s="1">
        <v>46026</v>
      </c>
      <c r="C5" t="s">
        <v>26</v>
      </c>
      <c r="D5" t="s">
        <v>27</v>
      </c>
      <c r="E5" s="19" t="s">
        <v>28</v>
      </c>
      <c r="F5" s="18">
        <v>3</v>
      </c>
      <c r="G5" s="18">
        <v>1000</v>
      </c>
      <c r="H5" s="18">
        <f t="shared" si="0"/>
        <v>3000</v>
      </c>
      <c r="I5" s="18">
        <v>18</v>
      </c>
      <c r="J5" s="18">
        <f>H5*I5</f>
        <v>54000</v>
      </c>
      <c r="K5" s="18">
        <f t="shared" si="1"/>
        <v>57000</v>
      </c>
      <c r="L5" s="18" t="s">
        <v>16</v>
      </c>
    </row>
    <row r="6" spans="1:12" x14ac:dyDescent="0.3">
      <c r="A6" t="s">
        <v>29</v>
      </c>
      <c r="B6" s="1">
        <v>46027</v>
      </c>
      <c r="C6" t="s">
        <v>30</v>
      </c>
      <c r="D6" t="s">
        <v>31</v>
      </c>
      <c r="E6" s="19" t="s">
        <v>32</v>
      </c>
      <c r="F6" s="18">
        <v>2</v>
      </c>
      <c r="G6" s="18">
        <v>1000</v>
      </c>
      <c r="H6" s="18">
        <f t="shared" si="0"/>
        <v>2000</v>
      </c>
      <c r="I6" s="18">
        <v>18</v>
      </c>
      <c r="J6" s="18">
        <f>H6*I6</f>
        <v>36000</v>
      </c>
      <c r="K6" s="18">
        <f t="shared" si="1"/>
        <v>38000</v>
      </c>
      <c r="L6" s="18" t="s">
        <v>16</v>
      </c>
    </row>
    <row r="7" spans="1:12" x14ac:dyDescent="0.3">
      <c r="A7" t="s">
        <v>33</v>
      </c>
      <c r="B7" s="1">
        <v>46028</v>
      </c>
      <c r="C7" t="s">
        <v>34</v>
      </c>
      <c r="D7" t="s">
        <v>35</v>
      </c>
      <c r="E7" s="19" t="s">
        <v>36</v>
      </c>
      <c r="F7" s="18">
        <v>1</v>
      </c>
      <c r="G7" s="18">
        <v>1000</v>
      </c>
      <c r="H7" s="18">
        <f t="shared" si="0"/>
        <v>1000</v>
      </c>
      <c r="I7" s="18">
        <v>18</v>
      </c>
      <c r="J7" s="18">
        <f t="shared" ref="J7:J33" si="2">H7*I7/100</f>
        <v>180</v>
      </c>
      <c r="K7" s="18">
        <f t="shared" si="1"/>
        <v>1180</v>
      </c>
      <c r="L7" s="18" t="s">
        <v>16</v>
      </c>
    </row>
    <row r="8" spans="1:12" x14ac:dyDescent="0.3">
      <c r="A8" t="s">
        <v>37</v>
      </c>
      <c r="B8" s="1">
        <v>46029</v>
      </c>
      <c r="C8" t="s">
        <v>13</v>
      </c>
      <c r="D8" t="s">
        <v>38</v>
      </c>
      <c r="E8" s="19" t="s">
        <v>15</v>
      </c>
      <c r="F8" s="18">
        <v>7</v>
      </c>
      <c r="G8" s="18">
        <v>60000</v>
      </c>
      <c r="H8" s="18">
        <f t="shared" si="0"/>
        <v>420000</v>
      </c>
      <c r="I8" s="18">
        <v>18</v>
      </c>
      <c r="J8" s="18">
        <f t="shared" si="2"/>
        <v>75600</v>
      </c>
      <c r="K8" s="18">
        <f t="shared" si="1"/>
        <v>495600</v>
      </c>
      <c r="L8" s="18" t="s">
        <v>16</v>
      </c>
    </row>
    <row r="9" spans="1:12" x14ac:dyDescent="0.3">
      <c r="A9" t="s">
        <v>39</v>
      </c>
      <c r="B9" s="1">
        <v>46030</v>
      </c>
      <c r="C9" t="s">
        <v>18</v>
      </c>
      <c r="D9" t="s">
        <v>40</v>
      </c>
      <c r="E9" s="19" t="s">
        <v>20</v>
      </c>
      <c r="F9" s="18">
        <v>20</v>
      </c>
      <c r="G9" s="18">
        <v>10000</v>
      </c>
      <c r="H9" s="18">
        <f t="shared" si="0"/>
        <v>200000</v>
      </c>
      <c r="I9" s="18">
        <v>18</v>
      </c>
      <c r="J9" s="18">
        <f t="shared" si="2"/>
        <v>36000</v>
      </c>
      <c r="K9" s="18">
        <f t="shared" si="1"/>
        <v>236000</v>
      </c>
      <c r="L9" s="18" t="s">
        <v>16</v>
      </c>
    </row>
    <row r="10" spans="1:12" x14ac:dyDescent="0.3">
      <c r="A10" t="s">
        <v>41</v>
      </c>
      <c r="B10" s="1">
        <v>46031</v>
      </c>
      <c r="C10" t="s">
        <v>22</v>
      </c>
      <c r="D10" t="s">
        <v>42</v>
      </c>
      <c r="E10" s="19" t="s">
        <v>24</v>
      </c>
      <c r="F10" s="18">
        <v>11</v>
      </c>
      <c r="G10" s="18">
        <v>1000</v>
      </c>
      <c r="H10" s="18">
        <f t="shared" si="0"/>
        <v>11000</v>
      </c>
      <c r="I10" s="18">
        <v>18</v>
      </c>
      <c r="J10" s="18">
        <f t="shared" si="2"/>
        <v>1980</v>
      </c>
      <c r="K10" s="18">
        <f t="shared" si="1"/>
        <v>12980</v>
      </c>
      <c r="L10" s="18" t="s">
        <v>16</v>
      </c>
    </row>
    <row r="11" spans="1:12" x14ac:dyDescent="0.3">
      <c r="A11" t="s">
        <v>43</v>
      </c>
      <c r="B11" s="1">
        <v>46032</v>
      </c>
      <c r="C11" t="s">
        <v>26</v>
      </c>
      <c r="D11" t="s">
        <v>44</v>
      </c>
      <c r="E11" s="19" t="s">
        <v>28</v>
      </c>
      <c r="F11" s="18">
        <v>12</v>
      </c>
      <c r="G11" s="18">
        <v>1000</v>
      </c>
      <c r="H11" s="18">
        <f t="shared" si="0"/>
        <v>12000</v>
      </c>
      <c r="I11" s="18">
        <v>18</v>
      </c>
      <c r="J11" s="18">
        <f t="shared" si="2"/>
        <v>2160</v>
      </c>
      <c r="K11" s="18">
        <f t="shared" si="1"/>
        <v>14160</v>
      </c>
      <c r="L11" s="18" t="s">
        <v>16</v>
      </c>
    </row>
    <row r="12" spans="1:12" x14ac:dyDescent="0.3">
      <c r="A12" t="s">
        <v>45</v>
      </c>
      <c r="B12" s="1">
        <v>46033</v>
      </c>
      <c r="C12" t="s">
        <v>30</v>
      </c>
      <c r="D12" t="s">
        <v>46</v>
      </c>
      <c r="E12" s="19" t="s">
        <v>32</v>
      </c>
      <c r="F12" s="18">
        <v>13</v>
      </c>
      <c r="G12" s="18">
        <v>1000</v>
      </c>
      <c r="H12" s="18">
        <f t="shared" si="0"/>
        <v>13000</v>
      </c>
      <c r="I12" s="18">
        <v>18</v>
      </c>
      <c r="J12" s="18">
        <f t="shared" si="2"/>
        <v>2340</v>
      </c>
      <c r="K12" s="18">
        <f t="shared" si="1"/>
        <v>15340</v>
      </c>
      <c r="L12" s="18" t="s">
        <v>16</v>
      </c>
    </row>
    <row r="13" spans="1:12" x14ac:dyDescent="0.3">
      <c r="A13" t="s">
        <v>47</v>
      </c>
      <c r="B13" s="1">
        <v>46034</v>
      </c>
      <c r="C13" t="s">
        <v>34</v>
      </c>
      <c r="D13" t="s">
        <v>48</v>
      </c>
      <c r="E13" s="19" t="s">
        <v>36</v>
      </c>
      <c r="F13" s="18">
        <v>25</v>
      </c>
      <c r="G13" s="18">
        <v>1000</v>
      </c>
      <c r="H13" s="18">
        <f t="shared" si="0"/>
        <v>25000</v>
      </c>
      <c r="I13" s="18">
        <v>18</v>
      </c>
      <c r="J13" s="18">
        <f t="shared" si="2"/>
        <v>4500</v>
      </c>
      <c r="K13" s="18">
        <f t="shared" si="1"/>
        <v>29500</v>
      </c>
      <c r="L13" s="18" t="s">
        <v>16</v>
      </c>
    </row>
    <row r="14" spans="1:12" x14ac:dyDescent="0.3">
      <c r="A14" t="s">
        <v>49</v>
      </c>
      <c r="B14" s="1">
        <v>46035</v>
      </c>
      <c r="C14" t="s">
        <v>13</v>
      </c>
      <c r="D14" t="s">
        <v>50</v>
      </c>
      <c r="E14" s="19" t="s">
        <v>15</v>
      </c>
      <c r="F14" s="18">
        <v>32</v>
      </c>
      <c r="G14" s="18">
        <v>60000</v>
      </c>
      <c r="H14" s="18">
        <f t="shared" si="0"/>
        <v>1920000</v>
      </c>
      <c r="I14" s="18">
        <v>18</v>
      </c>
      <c r="J14" s="18">
        <f t="shared" si="2"/>
        <v>345600</v>
      </c>
      <c r="K14" s="18">
        <f t="shared" si="1"/>
        <v>2265600</v>
      </c>
      <c r="L14" s="18" t="s">
        <v>16</v>
      </c>
    </row>
    <row r="15" spans="1:12" x14ac:dyDescent="0.3">
      <c r="A15" t="s">
        <v>51</v>
      </c>
      <c r="B15" s="1">
        <v>46036</v>
      </c>
      <c r="C15" t="s">
        <v>18</v>
      </c>
      <c r="D15" t="s">
        <v>52</v>
      </c>
      <c r="E15" s="19" t="s">
        <v>20</v>
      </c>
      <c r="F15" s="18">
        <v>10</v>
      </c>
      <c r="G15" s="18">
        <v>23000</v>
      </c>
      <c r="H15" s="18">
        <f t="shared" si="0"/>
        <v>230000</v>
      </c>
      <c r="I15" s="18">
        <v>18</v>
      </c>
      <c r="J15" s="18">
        <f t="shared" si="2"/>
        <v>41400</v>
      </c>
      <c r="K15" s="18">
        <f t="shared" si="1"/>
        <v>271400</v>
      </c>
      <c r="L15" s="18" t="s">
        <v>16</v>
      </c>
    </row>
    <row r="16" spans="1:12" x14ac:dyDescent="0.3">
      <c r="A16" t="s">
        <v>53</v>
      </c>
      <c r="B16" s="1">
        <v>46037</v>
      </c>
      <c r="C16" t="s">
        <v>22</v>
      </c>
      <c r="D16" t="s">
        <v>54</v>
      </c>
      <c r="E16" s="19" t="s">
        <v>24</v>
      </c>
      <c r="F16" s="18">
        <v>7</v>
      </c>
      <c r="G16" s="18">
        <v>1000</v>
      </c>
      <c r="H16" s="18">
        <f t="shared" si="0"/>
        <v>7000</v>
      </c>
      <c r="I16" s="18">
        <v>18</v>
      </c>
      <c r="J16" s="18">
        <f t="shared" si="2"/>
        <v>1260</v>
      </c>
      <c r="K16" s="18">
        <f t="shared" si="1"/>
        <v>8260</v>
      </c>
      <c r="L16" s="18" t="s">
        <v>16</v>
      </c>
    </row>
    <row r="17" spans="1:12" x14ac:dyDescent="0.3">
      <c r="A17" t="s">
        <v>55</v>
      </c>
      <c r="B17" s="1">
        <v>46038</v>
      </c>
      <c r="C17" t="s">
        <v>26</v>
      </c>
      <c r="D17" t="s">
        <v>56</v>
      </c>
      <c r="E17" s="19" t="s">
        <v>28</v>
      </c>
      <c r="F17" s="18">
        <v>22</v>
      </c>
      <c r="G17" s="18">
        <v>1000</v>
      </c>
      <c r="H17" s="18">
        <f t="shared" si="0"/>
        <v>22000</v>
      </c>
      <c r="I17" s="18">
        <v>18</v>
      </c>
      <c r="J17" s="18">
        <f t="shared" si="2"/>
        <v>3960</v>
      </c>
      <c r="K17" s="18">
        <f t="shared" si="1"/>
        <v>25960</v>
      </c>
      <c r="L17" s="18" t="s">
        <v>16</v>
      </c>
    </row>
    <row r="18" spans="1:12" x14ac:dyDescent="0.3">
      <c r="A18" t="s">
        <v>57</v>
      </c>
      <c r="B18" s="1">
        <v>46039</v>
      </c>
      <c r="C18" t="s">
        <v>30</v>
      </c>
      <c r="D18" t="s">
        <v>58</v>
      </c>
      <c r="E18" s="19" t="s">
        <v>32</v>
      </c>
      <c r="F18" s="18">
        <v>2</v>
      </c>
      <c r="G18" s="18">
        <v>1000</v>
      </c>
      <c r="H18" s="18">
        <f t="shared" si="0"/>
        <v>2000</v>
      </c>
      <c r="I18" s="18">
        <v>18</v>
      </c>
      <c r="J18" s="18">
        <f t="shared" si="2"/>
        <v>360</v>
      </c>
      <c r="K18" s="18">
        <f t="shared" si="1"/>
        <v>2360</v>
      </c>
      <c r="L18" s="18" t="s">
        <v>16</v>
      </c>
    </row>
    <row r="19" spans="1:12" x14ac:dyDescent="0.3">
      <c r="A19" t="s">
        <v>59</v>
      </c>
      <c r="B19" s="1">
        <v>46040</v>
      </c>
      <c r="C19" t="s">
        <v>34</v>
      </c>
      <c r="D19" t="s">
        <v>60</v>
      </c>
      <c r="E19" s="19" t="s">
        <v>36</v>
      </c>
      <c r="F19" s="18">
        <v>3</v>
      </c>
      <c r="G19" s="18">
        <v>4000</v>
      </c>
      <c r="H19" s="18">
        <f t="shared" si="0"/>
        <v>12000</v>
      </c>
      <c r="I19" s="18">
        <v>18</v>
      </c>
      <c r="J19" s="18">
        <f t="shared" si="2"/>
        <v>2160</v>
      </c>
      <c r="K19" s="18">
        <f t="shared" si="1"/>
        <v>14160</v>
      </c>
      <c r="L19" s="18" t="s">
        <v>16</v>
      </c>
    </row>
    <row r="20" spans="1:12" x14ac:dyDescent="0.3">
      <c r="A20" t="s">
        <v>61</v>
      </c>
      <c r="B20" s="1">
        <v>46041</v>
      </c>
      <c r="C20" t="s">
        <v>13</v>
      </c>
      <c r="D20" t="s">
        <v>62</v>
      </c>
      <c r="E20" s="19" t="s">
        <v>15</v>
      </c>
      <c r="F20" s="18">
        <v>4</v>
      </c>
      <c r="G20" s="18">
        <v>57000</v>
      </c>
      <c r="H20" s="18">
        <f t="shared" si="0"/>
        <v>228000</v>
      </c>
      <c r="I20" s="18">
        <v>18</v>
      </c>
      <c r="J20" s="18">
        <f t="shared" si="2"/>
        <v>41040</v>
      </c>
      <c r="K20" s="18">
        <f t="shared" si="1"/>
        <v>269040</v>
      </c>
      <c r="L20" s="18" t="s">
        <v>16</v>
      </c>
    </row>
    <row r="21" spans="1:12" x14ac:dyDescent="0.3">
      <c r="A21" t="s">
        <v>63</v>
      </c>
      <c r="B21" s="1">
        <v>46042</v>
      </c>
      <c r="C21" t="s">
        <v>18</v>
      </c>
      <c r="D21" t="s">
        <v>64</v>
      </c>
      <c r="E21" s="19" t="s">
        <v>20</v>
      </c>
      <c r="F21" s="18">
        <v>2</v>
      </c>
      <c r="G21" s="18">
        <v>5000</v>
      </c>
      <c r="H21" s="18">
        <f t="shared" si="0"/>
        <v>10000</v>
      </c>
      <c r="I21" s="18">
        <v>18</v>
      </c>
      <c r="J21" s="18">
        <f t="shared" si="2"/>
        <v>1800</v>
      </c>
      <c r="K21" s="18">
        <f t="shared" si="1"/>
        <v>11800</v>
      </c>
      <c r="L21" s="18" t="s">
        <v>16</v>
      </c>
    </row>
    <row r="22" spans="1:12" x14ac:dyDescent="0.3">
      <c r="A22" t="s">
        <v>65</v>
      </c>
      <c r="B22" s="1">
        <v>46043</v>
      </c>
      <c r="C22" t="s">
        <v>22</v>
      </c>
      <c r="D22" t="s">
        <v>66</v>
      </c>
      <c r="E22" s="19" t="s">
        <v>24</v>
      </c>
      <c r="F22" s="18">
        <v>1</v>
      </c>
      <c r="G22" s="18">
        <v>1500</v>
      </c>
      <c r="H22" s="18">
        <f t="shared" si="0"/>
        <v>1500</v>
      </c>
      <c r="I22" s="18">
        <v>18</v>
      </c>
      <c r="J22" s="18">
        <f t="shared" si="2"/>
        <v>270</v>
      </c>
      <c r="K22" s="18">
        <f t="shared" si="1"/>
        <v>1770</v>
      </c>
      <c r="L22" s="18" t="s">
        <v>16</v>
      </c>
    </row>
    <row r="23" spans="1:12" x14ac:dyDescent="0.3">
      <c r="A23" t="s">
        <v>67</v>
      </c>
      <c r="B23" s="1">
        <v>46044</v>
      </c>
      <c r="C23" t="s">
        <v>26</v>
      </c>
      <c r="D23" t="s">
        <v>68</v>
      </c>
      <c r="E23" s="19" t="s">
        <v>28</v>
      </c>
      <c r="F23" s="18">
        <v>1</v>
      </c>
      <c r="G23" s="18">
        <v>2200</v>
      </c>
      <c r="H23" s="18">
        <f t="shared" si="0"/>
        <v>2200</v>
      </c>
      <c r="I23" s="18">
        <v>18</v>
      </c>
      <c r="J23" s="18">
        <f t="shared" si="2"/>
        <v>396</v>
      </c>
      <c r="K23" s="18">
        <f t="shared" si="1"/>
        <v>2596</v>
      </c>
      <c r="L23" s="18" t="s">
        <v>16</v>
      </c>
    </row>
    <row r="24" spans="1:12" x14ac:dyDescent="0.3">
      <c r="A24" t="s">
        <v>69</v>
      </c>
      <c r="B24" s="1">
        <v>46045</v>
      </c>
      <c r="C24" t="s">
        <v>30</v>
      </c>
      <c r="D24" t="s">
        <v>70</v>
      </c>
      <c r="E24" s="19" t="s">
        <v>32</v>
      </c>
      <c r="F24" s="18">
        <v>1</v>
      </c>
      <c r="G24" s="18">
        <v>1000</v>
      </c>
      <c r="H24" s="18">
        <f t="shared" si="0"/>
        <v>1000</v>
      </c>
      <c r="I24" s="18">
        <v>18</v>
      </c>
      <c r="J24" s="18">
        <f t="shared" si="2"/>
        <v>180</v>
      </c>
      <c r="K24" s="18">
        <f t="shared" si="1"/>
        <v>1180</v>
      </c>
      <c r="L24" s="18" t="s">
        <v>16</v>
      </c>
    </row>
    <row r="25" spans="1:12" x14ac:dyDescent="0.3">
      <c r="A25" t="s">
        <v>71</v>
      </c>
      <c r="B25" s="1">
        <v>46046</v>
      </c>
      <c r="C25" t="s">
        <v>34</v>
      </c>
      <c r="D25" t="s">
        <v>72</v>
      </c>
      <c r="E25" s="19" t="s">
        <v>36</v>
      </c>
      <c r="F25" s="18">
        <v>1</v>
      </c>
      <c r="G25" s="18">
        <v>1000</v>
      </c>
      <c r="H25" s="18">
        <f t="shared" si="0"/>
        <v>1000</v>
      </c>
      <c r="I25" s="18">
        <v>18</v>
      </c>
      <c r="J25" s="18">
        <f t="shared" si="2"/>
        <v>180</v>
      </c>
      <c r="K25" s="18">
        <f t="shared" si="1"/>
        <v>1180</v>
      </c>
      <c r="L25" s="18" t="s">
        <v>16</v>
      </c>
    </row>
    <row r="26" spans="1:12" x14ac:dyDescent="0.3">
      <c r="A26" t="s">
        <v>73</v>
      </c>
      <c r="B26" s="1">
        <v>46047</v>
      </c>
      <c r="C26" t="s">
        <v>13</v>
      </c>
      <c r="D26" t="s">
        <v>74</v>
      </c>
      <c r="E26" s="19" t="s">
        <v>15</v>
      </c>
      <c r="F26" s="18">
        <v>1</v>
      </c>
      <c r="G26" s="18">
        <v>3000</v>
      </c>
      <c r="H26" s="18">
        <f t="shared" si="0"/>
        <v>3000</v>
      </c>
      <c r="I26" s="18">
        <v>18</v>
      </c>
      <c r="J26" s="18">
        <f t="shared" si="2"/>
        <v>540</v>
      </c>
      <c r="K26" s="18">
        <f t="shared" si="1"/>
        <v>3540</v>
      </c>
      <c r="L26" s="18" t="s">
        <v>16</v>
      </c>
    </row>
    <row r="27" spans="1:12" x14ac:dyDescent="0.3">
      <c r="A27" t="s">
        <v>75</v>
      </c>
      <c r="B27" s="1">
        <v>46048</v>
      </c>
      <c r="C27" t="s">
        <v>18</v>
      </c>
      <c r="D27" t="s">
        <v>76</v>
      </c>
      <c r="E27" s="19" t="s">
        <v>20</v>
      </c>
      <c r="F27" s="18">
        <v>1</v>
      </c>
      <c r="G27" s="18">
        <v>4500</v>
      </c>
      <c r="H27" s="18">
        <f t="shared" si="0"/>
        <v>4500</v>
      </c>
      <c r="I27" s="18">
        <v>18</v>
      </c>
      <c r="J27" s="18">
        <f t="shared" si="2"/>
        <v>810</v>
      </c>
      <c r="K27" s="18">
        <f t="shared" si="1"/>
        <v>5310</v>
      </c>
      <c r="L27" s="18" t="s">
        <v>16</v>
      </c>
    </row>
    <row r="28" spans="1:12" x14ac:dyDescent="0.3">
      <c r="A28" t="s">
        <v>77</v>
      </c>
      <c r="B28" s="1">
        <v>46049</v>
      </c>
      <c r="C28" t="s">
        <v>22</v>
      </c>
      <c r="D28" t="s">
        <v>78</v>
      </c>
      <c r="E28" s="19" t="s">
        <v>24</v>
      </c>
      <c r="F28" s="18">
        <v>1</v>
      </c>
      <c r="G28" s="18">
        <v>2500</v>
      </c>
      <c r="H28" s="18">
        <f t="shared" si="0"/>
        <v>2500</v>
      </c>
      <c r="I28" s="18">
        <v>18</v>
      </c>
      <c r="J28" s="18">
        <f t="shared" si="2"/>
        <v>450</v>
      </c>
      <c r="K28" s="18">
        <f t="shared" si="1"/>
        <v>2950</v>
      </c>
      <c r="L28" s="18" t="s">
        <v>16</v>
      </c>
    </row>
    <row r="29" spans="1:12" x14ac:dyDescent="0.3">
      <c r="A29" t="s">
        <v>79</v>
      </c>
      <c r="B29" s="1">
        <v>46050</v>
      </c>
      <c r="C29" t="s">
        <v>26</v>
      </c>
      <c r="D29" t="s">
        <v>80</v>
      </c>
      <c r="E29" s="19" t="s">
        <v>28</v>
      </c>
      <c r="F29" s="18">
        <v>1</v>
      </c>
      <c r="G29" s="18">
        <v>2000</v>
      </c>
      <c r="H29" s="18">
        <f t="shared" si="0"/>
        <v>2000</v>
      </c>
      <c r="I29" s="18">
        <v>18</v>
      </c>
      <c r="J29" s="18">
        <f t="shared" si="2"/>
        <v>360</v>
      </c>
      <c r="K29" s="18">
        <f t="shared" si="1"/>
        <v>2360</v>
      </c>
      <c r="L29" s="18" t="s">
        <v>16</v>
      </c>
    </row>
    <row r="30" spans="1:12" x14ac:dyDescent="0.3">
      <c r="A30" t="s">
        <v>81</v>
      </c>
      <c r="B30" s="1">
        <v>46051</v>
      </c>
      <c r="C30" t="s">
        <v>30</v>
      </c>
      <c r="D30" t="s">
        <v>82</v>
      </c>
      <c r="E30" s="19" t="s">
        <v>32</v>
      </c>
      <c r="F30" s="18">
        <v>1</v>
      </c>
      <c r="G30" s="18">
        <v>3500</v>
      </c>
      <c r="H30" s="18">
        <f t="shared" si="0"/>
        <v>3500</v>
      </c>
      <c r="I30" s="18">
        <v>18</v>
      </c>
      <c r="J30" s="18">
        <f t="shared" si="2"/>
        <v>630</v>
      </c>
      <c r="K30" s="18">
        <f t="shared" si="1"/>
        <v>4130</v>
      </c>
      <c r="L30" s="18" t="s">
        <v>16</v>
      </c>
    </row>
    <row r="31" spans="1:12" x14ac:dyDescent="0.3">
      <c r="A31" t="s">
        <v>83</v>
      </c>
      <c r="B31" s="1">
        <v>46052</v>
      </c>
      <c r="C31" t="s">
        <v>34</v>
      </c>
      <c r="D31" t="s">
        <v>84</v>
      </c>
      <c r="E31" s="19" t="s">
        <v>36</v>
      </c>
      <c r="F31" s="18">
        <v>1</v>
      </c>
      <c r="G31" s="18">
        <v>6000</v>
      </c>
      <c r="H31" s="18">
        <f t="shared" si="0"/>
        <v>6000</v>
      </c>
      <c r="I31" s="18">
        <v>18</v>
      </c>
      <c r="J31" s="18">
        <f t="shared" si="2"/>
        <v>1080</v>
      </c>
      <c r="K31" s="18">
        <f t="shared" si="1"/>
        <v>7080</v>
      </c>
      <c r="L31" s="18" t="s">
        <v>16</v>
      </c>
    </row>
    <row r="32" spans="1:12" x14ac:dyDescent="0.3">
      <c r="A32" t="s">
        <v>85</v>
      </c>
      <c r="B32" s="1">
        <v>46053</v>
      </c>
      <c r="C32" t="s">
        <v>13</v>
      </c>
      <c r="D32" t="s">
        <v>86</v>
      </c>
      <c r="E32" s="19" t="s">
        <v>15</v>
      </c>
      <c r="F32" s="18">
        <v>1</v>
      </c>
      <c r="G32" s="18">
        <v>40000</v>
      </c>
      <c r="H32" s="18">
        <f t="shared" si="0"/>
        <v>40000</v>
      </c>
      <c r="I32" s="18">
        <v>18</v>
      </c>
      <c r="J32" s="18">
        <f t="shared" si="2"/>
        <v>7200</v>
      </c>
      <c r="K32" s="18">
        <f t="shared" si="1"/>
        <v>47200</v>
      </c>
      <c r="L32" s="18" t="s">
        <v>16</v>
      </c>
    </row>
    <row r="33" spans="1:12" x14ac:dyDescent="0.3">
      <c r="A33" t="s">
        <v>87</v>
      </c>
      <c r="B33" s="1">
        <v>46054</v>
      </c>
      <c r="C33" t="s">
        <v>18</v>
      </c>
      <c r="D33" t="s">
        <v>88</v>
      </c>
      <c r="E33" s="19" t="s">
        <v>20</v>
      </c>
      <c r="F33" s="18">
        <v>1</v>
      </c>
      <c r="G33" s="18">
        <v>1000</v>
      </c>
      <c r="H33" s="18">
        <f t="shared" si="0"/>
        <v>1000</v>
      </c>
      <c r="I33" s="18">
        <v>18</v>
      </c>
      <c r="J33" s="18">
        <f t="shared" si="2"/>
        <v>180</v>
      </c>
      <c r="K33" s="18">
        <f t="shared" si="1"/>
        <v>1180</v>
      </c>
      <c r="L33" s="18" t="s">
        <v>16</v>
      </c>
    </row>
    <row r="34" spans="1:12" x14ac:dyDescent="0.3">
      <c r="A34" t="s">
        <v>89</v>
      </c>
      <c r="B34" s="1">
        <v>46055</v>
      </c>
      <c r="C34" t="s">
        <v>22</v>
      </c>
      <c r="D34" t="s">
        <v>90</v>
      </c>
      <c r="E34" s="19" t="s">
        <v>24</v>
      </c>
      <c r="F34" s="18">
        <v>1</v>
      </c>
      <c r="G34" s="18">
        <v>1000</v>
      </c>
      <c r="H34" s="18">
        <f t="shared" ref="H34:H65" si="3">F34*G34</f>
        <v>1000</v>
      </c>
      <c r="I34" s="18">
        <v>18</v>
      </c>
      <c r="J34" s="18">
        <f t="shared" ref="J34:J65" si="4">H34*I34/100</f>
        <v>180</v>
      </c>
      <c r="K34" s="18">
        <f t="shared" ref="K34:K65" si="5">H34+J34</f>
        <v>1180</v>
      </c>
      <c r="L34" s="18" t="s">
        <v>16</v>
      </c>
    </row>
    <row r="35" spans="1:12" x14ac:dyDescent="0.3">
      <c r="A35" t="s">
        <v>91</v>
      </c>
      <c r="B35" s="1">
        <v>46056</v>
      </c>
      <c r="C35" t="s">
        <v>26</v>
      </c>
      <c r="D35" t="s">
        <v>92</v>
      </c>
      <c r="E35" s="19" t="s">
        <v>28</v>
      </c>
      <c r="F35" s="18">
        <v>1</v>
      </c>
      <c r="G35" s="18">
        <v>1000</v>
      </c>
      <c r="H35" s="18">
        <f t="shared" si="3"/>
        <v>1000</v>
      </c>
      <c r="I35" s="18">
        <v>18</v>
      </c>
      <c r="J35" s="18">
        <f t="shared" si="4"/>
        <v>180</v>
      </c>
      <c r="K35" s="18">
        <f t="shared" si="5"/>
        <v>1180</v>
      </c>
      <c r="L35" s="18" t="s">
        <v>16</v>
      </c>
    </row>
    <row r="36" spans="1:12" x14ac:dyDescent="0.3">
      <c r="A36" t="s">
        <v>93</v>
      </c>
      <c r="B36" s="1">
        <v>46057</v>
      </c>
      <c r="C36" t="s">
        <v>30</v>
      </c>
      <c r="D36" t="s">
        <v>94</v>
      </c>
      <c r="E36" s="19" t="s">
        <v>32</v>
      </c>
      <c r="F36" s="18">
        <v>1</v>
      </c>
      <c r="G36" s="18">
        <v>1000</v>
      </c>
      <c r="H36" s="18">
        <f t="shared" si="3"/>
        <v>1000</v>
      </c>
      <c r="I36" s="18">
        <v>18</v>
      </c>
      <c r="J36" s="18">
        <f t="shared" si="4"/>
        <v>180</v>
      </c>
      <c r="K36" s="18">
        <f t="shared" si="5"/>
        <v>1180</v>
      </c>
      <c r="L36" s="18" t="s">
        <v>16</v>
      </c>
    </row>
    <row r="37" spans="1:12" x14ac:dyDescent="0.3">
      <c r="A37" t="s">
        <v>95</v>
      </c>
      <c r="B37" s="1">
        <v>46058</v>
      </c>
      <c r="C37" t="s">
        <v>34</v>
      </c>
      <c r="D37" t="s">
        <v>96</v>
      </c>
      <c r="E37" s="19" t="s">
        <v>36</v>
      </c>
      <c r="F37" s="18">
        <v>1</v>
      </c>
      <c r="G37" s="18">
        <v>1000</v>
      </c>
      <c r="H37" s="18">
        <f t="shared" si="3"/>
        <v>1000</v>
      </c>
      <c r="I37" s="18">
        <v>18</v>
      </c>
      <c r="J37" s="18">
        <f t="shared" si="4"/>
        <v>180</v>
      </c>
      <c r="K37" s="18">
        <f t="shared" si="5"/>
        <v>1180</v>
      </c>
      <c r="L37" s="18" t="s">
        <v>16</v>
      </c>
    </row>
    <row r="38" spans="1:12" x14ac:dyDescent="0.3">
      <c r="A38" t="s">
        <v>97</v>
      </c>
      <c r="B38" s="1">
        <v>46059</v>
      </c>
      <c r="C38" t="s">
        <v>13</v>
      </c>
      <c r="D38" t="s">
        <v>98</v>
      </c>
      <c r="E38" s="19" t="s">
        <v>15</v>
      </c>
      <c r="F38" s="18">
        <v>1</v>
      </c>
      <c r="G38" s="18">
        <v>1000</v>
      </c>
      <c r="H38" s="18">
        <f t="shared" si="3"/>
        <v>1000</v>
      </c>
      <c r="I38" s="18">
        <v>18</v>
      </c>
      <c r="J38" s="18">
        <f t="shared" si="4"/>
        <v>180</v>
      </c>
      <c r="K38" s="18">
        <f t="shared" si="5"/>
        <v>1180</v>
      </c>
      <c r="L38" s="18" t="s">
        <v>16</v>
      </c>
    </row>
    <row r="39" spans="1:12" x14ac:dyDescent="0.3">
      <c r="A39" t="s">
        <v>99</v>
      </c>
      <c r="B39" s="1">
        <v>46060</v>
      </c>
      <c r="C39" t="s">
        <v>18</v>
      </c>
      <c r="D39" t="s">
        <v>100</v>
      </c>
      <c r="E39" s="19" t="s">
        <v>20</v>
      </c>
      <c r="F39" s="18">
        <v>3</v>
      </c>
      <c r="G39" s="18">
        <v>1000</v>
      </c>
      <c r="H39" s="18">
        <f t="shared" si="3"/>
        <v>3000</v>
      </c>
      <c r="I39" s="18">
        <v>18</v>
      </c>
      <c r="J39" s="18">
        <f t="shared" si="4"/>
        <v>540</v>
      </c>
      <c r="K39" s="18">
        <f t="shared" si="5"/>
        <v>3540</v>
      </c>
      <c r="L39" s="18" t="s">
        <v>16</v>
      </c>
    </row>
    <row r="40" spans="1:12" x14ac:dyDescent="0.3">
      <c r="A40" t="s">
        <v>101</v>
      </c>
      <c r="B40" s="1">
        <v>46061</v>
      </c>
      <c r="C40" t="s">
        <v>22</v>
      </c>
      <c r="D40" t="s">
        <v>102</v>
      </c>
      <c r="E40" s="19" t="s">
        <v>24</v>
      </c>
      <c r="F40" s="18">
        <v>1</v>
      </c>
      <c r="G40" s="18">
        <v>1000</v>
      </c>
      <c r="H40" s="18">
        <f t="shared" si="3"/>
        <v>1000</v>
      </c>
      <c r="I40" s="18">
        <v>18</v>
      </c>
      <c r="J40" s="18">
        <f t="shared" si="4"/>
        <v>180</v>
      </c>
      <c r="K40" s="18">
        <f t="shared" si="5"/>
        <v>1180</v>
      </c>
      <c r="L40" s="18" t="s">
        <v>16</v>
      </c>
    </row>
    <row r="41" spans="1:12" x14ac:dyDescent="0.3">
      <c r="A41" t="s">
        <v>103</v>
      </c>
      <c r="B41" s="1">
        <v>46062</v>
      </c>
      <c r="C41" t="s">
        <v>26</v>
      </c>
      <c r="D41" t="s">
        <v>104</v>
      </c>
      <c r="E41" s="19" t="s">
        <v>28</v>
      </c>
      <c r="F41" s="18">
        <v>1</v>
      </c>
      <c r="G41" s="18">
        <v>1000</v>
      </c>
      <c r="H41" s="18">
        <f t="shared" si="3"/>
        <v>1000</v>
      </c>
      <c r="I41" s="18">
        <v>18</v>
      </c>
      <c r="J41" s="18">
        <f t="shared" si="4"/>
        <v>180</v>
      </c>
      <c r="K41" s="18">
        <f t="shared" si="5"/>
        <v>1180</v>
      </c>
      <c r="L41" s="18" t="s">
        <v>16</v>
      </c>
    </row>
    <row r="42" spans="1:12" x14ac:dyDescent="0.3">
      <c r="A42" t="s">
        <v>105</v>
      </c>
      <c r="B42" s="1">
        <v>46063</v>
      </c>
      <c r="C42" t="s">
        <v>30</v>
      </c>
      <c r="D42" t="s">
        <v>106</v>
      </c>
      <c r="E42" s="19" t="s">
        <v>32</v>
      </c>
      <c r="F42" s="18">
        <v>1</v>
      </c>
      <c r="G42" s="18">
        <v>1000</v>
      </c>
      <c r="H42" s="18">
        <f t="shared" si="3"/>
        <v>1000</v>
      </c>
      <c r="I42" s="18">
        <v>18</v>
      </c>
      <c r="J42" s="18">
        <f t="shared" si="4"/>
        <v>180</v>
      </c>
      <c r="K42" s="18">
        <f t="shared" si="5"/>
        <v>1180</v>
      </c>
      <c r="L42" s="18" t="s">
        <v>16</v>
      </c>
    </row>
    <row r="43" spans="1:12" x14ac:dyDescent="0.3">
      <c r="A43" t="s">
        <v>107</v>
      </c>
      <c r="B43" s="1">
        <v>46064</v>
      </c>
      <c r="C43" t="s">
        <v>34</v>
      </c>
      <c r="D43" t="s">
        <v>108</v>
      </c>
      <c r="E43" s="19" t="s">
        <v>36</v>
      </c>
      <c r="F43" s="18">
        <v>1</v>
      </c>
      <c r="G43" s="18">
        <v>1000</v>
      </c>
      <c r="H43" s="18">
        <f t="shared" si="3"/>
        <v>1000</v>
      </c>
      <c r="I43" s="18">
        <v>18</v>
      </c>
      <c r="J43" s="18">
        <f t="shared" si="4"/>
        <v>180</v>
      </c>
      <c r="K43" s="18">
        <f t="shared" si="5"/>
        <v>1180</v>
      </c>
      <c r="L43" s="18" t="s">
        <v>16</v>
      </c>
    </row>
    <row r="44" spans="1:12" x14ac:dyDescent="0.3">
      <c r="A44" t="s">
        <v>109</v>
      </c>
      <c r="B44" s="1">
        <v>46065</v>
      </c>
      <c r="C44" t="s">
        <v>13</v>
      </c>
      <c r="D44" t="s">
        <v>110</v>
      </c>
      <c r="E44" s="19" t="s">
        <v>15</v>
      </c>
      <c r="F44" s="18">
        <v>1</v>
      </c>
      <c r="G44" s="18">
        <v>1000</v>
      </c>
      <c r="H44" s="18">
        <f t="shared" si="3"/>
        <v>1000</v>
      </c>
      <c r="I44" s="18">
        <v>18</v>
      </c>
      <c r="J44" s="18">
        <f t="shared" si="4"/>
        <v>180</v>
      </c>
      <c r="K44" s="18">
        <f t="shared" si="5"/>
        <v>1180</v>
      </c>
      <c r="L44" s="18" t="s">
        <v>16</v>
      </c>
    </row>
    <row r="45" spans="1:12" x14ac:dyDescent="0.3">
      <c r="A45" t="s">
        <v>111</v>
      </c>
      <c r="B45" s="1">
        <v>46066</v>
      </c>
      <c r="C45" t="s">
        <v>18</v>
      </c>
      <c r="D45" t="s">
        <v>112</v>
      </c>
      <c r="E45" s="19" t="s">
        <v>20</v>
      </c>
      <c r="F45" s="18">
        <v>1</v>
      </c>
      <c r="G45" s="18">
        <v>1000</v>
      </c>
      <c r="H45" s="18">
        <f t="shared" si="3"/>
        <v>1000</v>
      </c>
      <c r="I45" s="18">
        <v>18</v>
      </c>
      <c r="J45" s="18">
        <f t="shared" si="4"/>
        <v>180</v>
      </c>
      <c r="K45" s="18">
        <f t="shared" si="5"/>
        <v>1180</v>
      </c>
      <c r="L45" s="18" t="s">
        <v>16</v>
      </c>
    </row>
    <row r="46" spans="1:12" x14ac:dyDescent="0.3">
      <c r="A46" t="s">
        <v>113</v>
      </c>
      <c r="B46" s="1">
        <v>46067</v>
      </c>
      <c r="C46" t="s">
        <v>22</v>
      </c>
      <c r="D46" t="s">
        <v>114</v>
      </c>
      <c r="E46" s="19" t="s">
        <v>24</v>
      </c>
      <c r="F46" s="18">
        <v>4</v>
      </c>
      <c r="G46" s="18">
        <v>2000</v>
      </c>
      <c r="H46" s="18">
        <f t="shared" si="3"/>
        <v>8000</v>
      </c>
      <c r="I46" s="18">
        <v>18</v>
      </c>
      <c r="J46" s="18">
        <f t="shared" si="4"/>
        <v>1440</v>
      </c>
      <c r="K46" s="18">
        <f t="shared" si="5"/>
        <v>9440</v>
      </c>
      <c r="L46" s="18" t="s">
        <v>16</v>
      </c>
    </row>
    <row r="47" spans="1:12" x14ac:dyDescent="0.3">
      <c r="A47" t="s">
        <v>115</v>
      </c>
      <c r="B47" s="1">
        <v>46068</v>
      </c>
      <c r="C47" t="s">
        <v>26</v>
      </c>
      <c r="D47" t="s">
        <v>116</v>
      </c>
      <c r="E47" s="19" t="s">
        <v>28</v>
      </c>
      <c r="F47" s="18">
        <v>25</v>
      </c>
      <c r="G47" s="18">
        <v>3000</v>
      </c>
      <c r="H47" s="18">
        <f t="shared" si="3"/>
        <v>75000</v>
      </c>
      <c r="I47" s="18">
        <v>18</v>
      </c>
      <c r="J47" s="18">
        <f t="shared" si="4"/>
        <v>13500</v>
      </c>
      <c r="K47" s="18">
        <f t="shared" si="5"/>
        <v>88500</v>
      </c>
      <c r="L47" s="18" t="s">
        <v>16</v>
      </c>
    </row>
    <row r="48" spans="1:12" x14ac:dyDescent="0.3">
      <c r="A48" t="s">
        <v>117</v>
      </c>
      <c r="B48" s="1">
        <v>46069</v>
      </c>
      <c r="C48" t="s">
        <v>30</v>
      </c>
      <c r="D48" t="s">
        <v>118</v>
      </c>
      <c r="E48" s="19" t="s">
        <v>32</v>
      </c>
      <c r="F48" s="18">
        <v>11</v>
      </c>
      <c r="G48" s="18">
        <v>5500</v>
      </c>
      <c r="H48" s="18">
        <f t="shared" si="3"/>
        <v>60500</v>
      </c>
      <c r="I48" s="18">
        <v>18</v>
      </c>
      <c r="J48" s="18">
        <f t="shared" si="4"/>
        <v>10890</v>
      </c>
      <c r="K48" s="18">
        <f t="shared" si="5"/>
        <v>71390</v>
      </c>
      <c r="L48" s="18" t="s">
        <v>16</v>
      </c>
    </row>
    <row r="49" spans="1:12" x14ac:dyDescent="0.3">
      <c r="A49" t="s">
        <v>119</v>
      </c>
      <c r="B49" s="1">
        <v>46070</v>
      </c>
      <c r="C49" t="s">
        <v>34</v>
      </c>
      <c r="D49" t="s">
        <v>120</v>
      </c>
      <c r="E49" s="19" t="s">
        <v>36</v>
      </c>
      <c r="F49" s="18">
        <v>33</v>
      </c>
      <c r="G49" s="18">
        <v>140000</v>
      </c>
      <c r="H49" s="18">
        <f t="shared" si="3"/>
        <v>4620000</v>
      </c>
      <c r="I49" s="18">
        <v>18</v>
      </c>
      <c r="J49" s="18">
        <f t="shared" si="4"/>
        <v>831600</v>
      </c>
      <c r="K49" s="18">
        <f t="shared" si="5"/>
        <v>5451600</v>
      </c>
      <c r="L49" s="18" t="s">
        <v>16</v>
      </c>
    </row>
    <row r="50" spans="1:12" x14ac:dyDescent="0.3">
      <c r="A50" t="s">
        <v>121</v>
      </c>
      <c r="B50" s="1">
        <v>46071</v>
      </c>
      <c r="C50" t="s">
        <v>13</v>
      </c>
      <c r="D50" t="s">
        <v>122</v>
      </c>
      <c r="E50" s="19" t="s">
        <v>15</v>
      </c>
      <c r="F50" s="18">
        <v>4</v>
      </c>
      <c r="G50" s="18">
        <v>35000</v>
      </c>
      <c r="H50" s="18">
        <f t="shared" si="3"/>
        <v>140000</v>
      </c>
      <c r="I50" s="18">
        <v>18</v>
      </c>
      <c r="J50" s="18">
        <f t="shared" si="4"/>
        <v>25200</v>
      </c>
      <c r="K50" s="18">
        <f t="shared" si="5"/>
        <v>165200</v>
      </c>
      <c r="L50" s="18" t="s">
        <v>16</v>
      </c>
    </row>
    <row r="51" spans="1:12" x14ac:dyDescent="0.3">
      <c r="A51" t="s">
        <v>123</v>
      </c>
      <c r="B51" s="1">
        <v>46072</v>
      </c>
      <c r="C51" t="s">
        <v>18</v>
      </c>
      <c r="D51" t="s">
        <v>124</v>
      </c>
      <c r="E51" s="19" t="s">
        <v>20</v>
      </c>
      <c r="F51" s="18">
        <v>4</v>
      </c>
      <c r="G51" s="18">
        <v>4800</v>
      </c>
      <c r="H51" s="18">
        <f t="shared" si="3"/>
        <v>19200</v>
      </c>
      <c r="I51" s="18">
        <v>18</v>
      </c>
      <c r="J51" s="18">
        <f t="shared" si="4"/>
        <v>3456</v>
      </c>
      <c r="K51" s="18">
        <f t="shared" si="5"/>
        <v>22656</v>
      </c>
      <c r="L51" s="18" t="s">
        <v>16</v>
      </c>
    </row>
    <row r="52" spans="1:12" x14ac:dyDescent="0.3">
      <c r="A52" t="s">
        <v>125</v>
      </c>
      <c r="B52" s="1">
        <v>46073</v>
      </c>
      <c r="C52" t="s">
        <v>22</v>
      </c>
      <c r="D52" t="s">
        <v>126</v>
      </c>
      <c r="E52" s="19" t="s">
        <v>24</v>
      </c>
      <c r="F52" s="18">
        <v>5</v>
      </c>
      <c r="G52" s="18">
        <v>7900</v>
      </c>
      <c r="H52" s="18">
        <f t="shared" si="3"/>
        <v>39500</v>
      </c>
      <c r="I52" s="18">
        <v>18</v>
      </c>
      <c r="J52" s="18">
        <f t="shared" si="4"/>
        <v>7110</v>
      </c>
      <c r="K52" s="18">
        <f t="shared" si="5"/>
        <v>46610</v>
      </c>
      <c r="L52" s="18" t="s">
        <v>16</v>
      </c>
    </row>
    <row r="53" spans="1:12" x14ac:dyDescent="0.3">
      <c r="A53" t="s">
        <v>127</v>
      </c>
      <c r="B53" s="1">
        <v>46074</v>
      </c>
      <c r="C53" t="s">
        <v>26</v>
      </c>
      <c r="D53" t="s">
        <v>128</v>
      </c>
      <c r="E53" s="19" t="s">
        <v>28</v>
      </c>
      <c r="F53" s="18">
        <v>12</v>
      </c>
      <c r="G53" s="18">
        <v>2000</v>
      </c>
      <c r="H53" s="18">
        <f t="shared" si="3"/>
        <v>24000</v>
      </c>
      <c r="I53" s="18">
        <v>18</v>
      </c>
      <c r="J53" s="18">
        <f t="shared" si="4"/>
        <v>4320</v>
      </c>
      <c r="K53" s="18">
        <f t="shared" si="5"/>
        <v>28320</v>
      </c>
      <c r="L53" s="18" t="s">
        <v>16</v>
      </c>
    </row>
    <row r="54" spans="1:12" x14ac:dyDescent="0.3">
      <c r="A54" t="s">
        <v>129</v>
      </c>
      <c r="B54" s="1">
        <v>46075</v>
      </c>
      <c r="C54" t="s">
        <v>30</v>
      </c>
      <c r="D54" t="s">
        <v>130</v>
      </c>
      <c r="E54" s="19" t="s">
        <v>32</v>
      </c>
      <c r="F54" s="18">
        <v>11</v>
      </c>
      <c r="G54" s="18">
        <v>2300</v>
      </c>
      <c r="H54" s="18">
        <f t="shared" si="3"/>
        <v>25300</v>
      </c>
      <c r="I54" s="18">
        <v>18</v>
      </c>
      <c r="J54" s="18">
        <f t="shared" si="4"/>
        <v>4554</v>
      </c>
      <c r="K54" s="18">
        <f t="shared" si="5"/>
        <v>29854</v>
      </c>
      <c r="L54" s="18" t="s">
        <v>16</v>
      </c>
    </row>
    <row r="55" spans="1:12" x14ac:dyDescent="0.3">
      <c r="A55" t="s">
        <v>131</v>
      </c>
      <c r="B55" s="1">
        <v>46076</v>
      </c>
      <c r="C55" t="s">
        <v>34</v>
      </c>
      <c r="D55" t="s">
        <v>132</v>
      </c>
      <c r="E55" s="19" t="s">
        <v>36</v>
      </c>
      <c r="F55" s="18">
        <v>9</v>
      </c>
      <c r="G55" s="18">
        <v>23000</v>
      </c>
      <c r="H55" s="18">
        <f t="shared" si="3"/>
        <v>207000</v>
      </c>
      <c r="I55" s="18">
        <v>18</v>
      </c>
      <c r="J55" s="18">
        <f t="shared" si="4"/>
        <v>37260</v>
      </c>
      <c r="K55" s="18">
        <f t="shared" si="5"/>
        <v>244260</v>
      </c>
      <c r="L55" s="18" t="s">
        <v>16</v>
      </c>
    </row>
    <row r="56" spans="1:12" x14ac:dyDescent="0.3">
      <c r="A56" t="s">
        <v>133</v>
      </c>
      <c r="B56" s="1">
        <v>46077</v>
      </c>
      <c r="C56" t="s">
        <v>13</v>
      </c>
      <c r="D56" t="s">
        <v>134</v>
      </c>
      <c r="E56" s="19" t="s">
        <v>15</v>
      </c>
      <c r="F56" s="18">
        <v>4</v>
      </c>
      <c r="G56" s="18">
        <v>60000</v>
      </c>
      <c r="H56" s="18">
        <f t="shared" si="3"/>
        <v>240000</v>
      </c>
      <c r="I56" s="18">
        <v>18</v>
      </c>
      <c r="J56" s="18">
        <f t="shared" si="4"/>
        <v>43200</v>
      </c>
      <c r="K56" s="18">
        <f t="shared" si="5"/>
        <v>283200</v>
      </c>
      <c r="L56" s="18" t="s">
        <v>16</v>
      </c>
    </row>
    <row r="57" spans="1:12" x14ac:dyDescent="0.3">
      <c r="A57" t="s">
        <v>135</v>
      </c>
      <c r="B57" s="1">
        <v>46078</v>
      </c>
      <c r="C57" t="s">
        <v>18</v>
      </c>
      <c r="D57" t="s">
        <v>136</v>
      </c>
      <c r="E57" s="19" t="s">
        <v>20</v>
      </c>
      <c r="F57" s="18">
        <v>5</v>
      </c>
      <c r="G57" s="18">
        <v>1000</v>
      </c>
      <c r="H57" s="18">
        <f t="shared" si="3"/>
        <v>5000</v>
      </c>
      <c r="I57" s="18">
        <v>18</v>
      </c>
      <c r="J57" s="18">
        <f t="shared" si="4"/>
        <v>900</v>
      </c>
      <c r="K57" s="18">
        <f t="shared" si="5"/>
        <v>5900</v>
      </c>
      <c r="L57" s="18" t="s">
        <v>16</v>
      </c>
    </row>
    <row r="58" spans="1:12" x14ac:dyDescent="0.3">
      <c r="A58" t="s">
        <v>137</v>
      </c>
      <c r="B58" s="1">
        <v>46079</v>
      </c>
      <c r="C58" t="s">
        <v>22</v>
      </c>
      <c r="D58" t="s">
        <v>138</v>
      </c>
      <c r="E58" s="19" t="s">
        <v>24</v>
      </c>
      <c r="F58" s="18">
        <v>3</v>
      </c>
      <c r="G58" s="18">
        <v>1000</v>
      </c>
      <c r="H58" s="18">
        <f t="shared" si="3"/>
        <v>3000</v>
      </c>
      <c r="I58" s="18">
        <v>18</v>
      </c>
      <c r="J58" s="18">
        <f t="shared" si="4"/>
        <v>540</v>
      </c>
      <c r="K58" s="18">
        <f t="shared" si="5"/>
        <v>3540</v>
      </c>
      <c r="L58" s="18" t="s">
        <v>16</v>
      </c>
    </row>
    <row r="59" spans="1:12" x14ac:dyDescent="0.3">
      <c r="A59" t="s">
        <v>139</v>
      </c>
      <c r="B59" s="1">
        <v>46080</v>
      </c>
      <c r="C59" t="s">
        <v>26</v>
      </c>
      <c r="D59" t="s">
        <v>140</v>
      </c>
      <c r="E59" s="19" t="s">
        <v>28</v>
      </c>
      <c r="F59" s="18">
        <v>4</v>
      </c>
      <c r="G59" s="18">
        <v>1000</v>
      </c>
      <c r="H59" s="18">
        <f t="shared" si="3"/>
        <v>4000</v>
      </c>
      <c r="I59" s="18">
        <v>18</v>
      </c>
      <c r="J59" s="18">
        <f t="shared" si="4"/>
        <v>720</v>
      </c>
      <c r="K59" s="18">
        <f t="shared" si="5"/>
        <v>4720</v>
      </c>
      <c r="L59" s="18" t="s">
        <v>16</v>
      </c>
    </row>
    <row r="60" spans="1:12" x14ac:dyDescent="0.3">
      <c r="A60" t="s">
        <v>141</v>
      </c>
      <c r="B60" s="1">
        <v>46081</v>
      </c>
      <c r="C60" t="s">
        <v>30</v>
      </c>
      <c r="D60" t="s">
        <v>142</v>
      </c>
      <c r="E60" s="19" t="s">
        <v>32</v>
      </c>
      <c r="F60" s="18">
        <v>5</v>
      </c>
      <c r="G60" s="18">
        <v>1000</v>
      </c>
      <c r="H60" s="18">
        <f t="shared" si="3"/>
        <v>5000</v>
      </c>
      <c r="I60" s="18">
        <v>18</v>
      </c>
      <c r="J60" s="18">
        <f t="shared" si="4"/>
        <v>900</v>
      </c>
      <c r="K60" s="18">
        <f t="shared" si="5"/>
        <v>5900</v>
      </c>
      <c r="L60" s="18" t="s">
        <v>16</v>
      </c>
    </row>
    <row r="61" spans="1:12" x14ac:dyDescent="0.3">
      <c r="A61" t="s">
        <v>143</v>
      </c>
      <c r="B61" s="1">
        <v>46082</v>
      </c>
      <c r="C61" t="s">
        <v>34</v>
      </c>
      <c r="D61" t="s">
        <v>144</v>
      </c>
      <c r="E61" s="19" t="s">
        <v>36</v>
      </c>
      <c r="F61" s="18">
        <v>10</v>
      </c>
      <c r="G61" s="18">
        <v>50000</v>
      </c>
      <c r="H61" s="18">
        <f t="shared" si="3"/>
        <v>500000</v>
      </c>
      <c r="I61" s="18">
        <v>18</v>
      </c>
      <c r="J61" s="18">
        <f t="shared" si="4"/>
        <v>90000</v>
      </c>
      <c r="K61" s="18">
        <f t="shared" si="5"/>
        <v>590000</v>
      </c>
      <c r="L61" s="18" t="s">
        <v>16</v>
      </c>
    </row>
    <row r="62" spans="1:12" x14ac:dyDescent="0.3">
      <c r="A62" t="s">
        <v>145</v>
      </c>
      <c r="B62" s="1">
        <v>46083</v>
      </c>
      <c r="C62" t="s">
        <v>13</v>
      </c>
      <c r="D62" t="s">
        <v>146</v>
      </c>
      <c r="E62" s="19" t="s">
        <v>15</v>
      </c>
      <c r="F62" s="18">
        <v>2</v>
      </c>
      <c r="G62" s="18">
        <v>27000</v>
      </c>
      <c r="H62" s="18">
        <f t="shared" si="3"/>
        <v>54000</v>
      </c>
      <c r="I62" s="18">
        <v>18</v>
      </c>
      <c r="J62" s="18">
        <f t="shared" si="4"/>
        <v>9720</v>
      </c>
      <c r="K62" s="18">
        <f t="shared" si="5"/>
        <v>63720</v>
      </c>
      <c r="L62" s="18" t="s">
        <v>16</v>
      </c>
    </row>
    <row r="63" spans="1:12" x14ac:dyDescent="0.3">
      <c r="A63" t="s">
        <v>147</v>
      </c>
      <c r="B63" s="1">
        <v>46084</v>
      </c>
      <c r="C63" t="s">
        <v>18</v>
      </c>
      <c r="D63" t="s">
        <v>148</v>
      </c>
      <c r="E63" s="19" t="s">
        <v>20</v>
      </c>
      <c r="F63" s="18">
        <v>10</v>
      </c>
      <c r="G63" s="18">
        <v>1000</v>
      </c>
      <c r="H63" s="18">
        <f t="shared" si="3"/>
        <v>10000</v>
      </c>
      <c r="I63" s="18">
        <v>18</v>
      </c>
      <c r="J63" s="18">
        <f t="shared" si="4"/>
        <v>1800</v>
      </c>
      <c r="K63" s="18">
        <f t="shared" si="5"/>
        <v>11800</v>
      </c>
      <c r="L63" s="18" t="s">
        <v>16</v>
      </c>
    </row>
    <row r="64" spans="1:12" x14ac:dyDescent="0.3">
      <c r="A64" t="s">
        <v>149</v>
      </c>
      <c r="B64" s="1">
        <v>46085</v>
      </c>
      <c r="C64" t="s">
        <v>22</v>
      </c>
      <c r="D64" t="s">
        <v>150</v>
      </c>
      <c r="E64" s="19" t="s">
        <v>24</v>
      </c>
      <c r="F64" s="18">
        <v>3</v>
      </c>
      <c r="G64" s="18">
        <v>1000</v>
      </c>
      <c r="H64" s="18">
        <f t="shared" si="3"/>
        <v>3000</v>
      </c>
      <c r="I64" s="18">
        <v>18</v>
      </c>
      <c r="J64" s="18">
        <f t="shared" si="4"/>
        <v>540</v>
      </c>
      <c r="K64" s="18">
        <f t="shared" si="5"/>
        <v>3540</v>
      </c>
      <c r="L64" s="18" t="s">
        <v>16</v>
      </c>
    </row>
    <row r="65" spans="1:12" x14ac:dyDescent="0.3">
      <c r="A65" t="s">
        <v>151</v>
      </c>
      <c r="B65" s="1">
        <v>46086</v>
      </c>
      <c r="C65" t="s">
        <v>26</v>
      </c>
      <c r="D65" t="s">
        <v>152</v>
      </c>
      <c r="E65" s="19" t="s">
        <v>28</v>
      </c>
      <c r="F65" s="18">
        <v>4</v>
      </c>
      <c r="G65" s="18">
        <v>1000</v>
      </c>
      <c r="H65" s="18">
        <f t="shared" si="3"/>
        <v>4000</v>
      </c>
      <c r="I65" s="18">
        <v>18</v>
      </c>
      <c r="J65" s="18">
        <f t="shared" si="4"/>
        <v>720</v>
      </c>
      <c r="K65" s="18">
        <f t="shared" si="5"/>
        <v>4720</v>
      </c>
      <c r="L65" s="18" t="s">
        <v>16</v>
      </c>
    </row>
    <row r="66" spans="1:12" x14ac:dyDescent="0.3">
      <c r="A66" t="s">
        <v>153</v>
      </c>
      <c r="B66" s="1">
        <v>46087</v>
      </c>
      <c r="C66" t="s">
        <v>30</v>
      </c>
      <c r="D66" t="s">
        <v>154</v>
      </c>
      <c r="E66" s="19" t="s">
        <v>32</v>
      </c>
      <c r="F66" s="18">
        <v>1</v>
      </c>
      <c r="G66" s="18">
        <v>1000</v>
      </c>
      <c r="H66" s="18">
        <f t="shared" ref="H66:H97" si="6">F66*G66</f>
        <v>1000</v>
      </c>
      <c r="I66" s="18">
        <v>18</v>
      </c>
      <c r="J66" s="18">
        <f t="shared" ref="J66:J97" si="7">H66*I66/100</f>
        <v>180</v>
      </c>
      <c r="K66" s="18">
        <f t="shared" ref="K66:K97" si="8">H66+J66</f>
        <v>1180</v>
      </c>
      <c r="L66" s="18" t="s">
        <v>16</v>
      </c>
    </row>
    <row r="67" spans="1:12" x14ac:dyDescent="0.3">
      <c r="A67" t="s">
        <v>155</v>
      </c>
      <c r="B67" s="1">
        <v>46088</v>
      </c>
      <c r="C67" t="s">
        <v>34</v>
      </c>
      <c r="D67" t="s">
        <v>156</v>
      </c>
      <c r="E67" s="19" t="s">
        <v>36</v>
      </c>
      <c r="F67" s="18">
        <v>1</v>
      </c>
      <c r="G67" s="18">
        <v>1000</v>
      </c>
      <c r="H67" s="18">
        <f t="shared" si="6"/>
        <v>1000</v>
      </c>
      <c r="I67" s="18">
        <v>18</v>
      </c>
      <c r="J67" s="18">
        <f t="shared" si="7"/>
        <v>180</v>
      </c>
      <c r="K67" s="18">
        <f t="shared" si="8"/>
        <v>1180</v>
      </c>
      <c r="L67" s="18" t="s">
        <v>16</v>
      </c>
    </row>
    <row r="68" spans="1:12" x14ac:dyDescent="0.3">
      <c r="A68" t="s">
        <v>157</v>
      </c>
      <c r="B68" s="1">
        <v>46089</v>
      </c>
      <c r="C68" t="s">
        <v>13</v>
      </c>
      <c r="D68" t="s">
        <v>158</v>
      </c>
      <c r="E68" s="19" t="s">
        <v>15</v>
      </c>
      <c r="F68" s="18">
        <v>1</v>
      </c>
      <c r="G68" s="18">
        <v>6800</v>
      </c>
      <c r="H68" s="18">
        <f t="shared" si="6"/>
        <v>6800</v>
      </c>
      <c r="I68" s="18">
        <v>18</v>
      </c>
      <c r="J68" s="18">
        <f t="shared" si="7"/>
        <v>1224</v>
      </c>
      <c r="K68" s="18">
        <f t="shared" si="8"/>
        <v>8024</v>
      </c>
      <c r="L68" s="18" t="s">
        <v>16</v>
      </c>
    </row>
    <row r="69" spans="1:12" x14ac:dyDescent="0.3">
      <c r="A69" t="s">
        <v>159</v>
      </c>
      <c r="B69" s="1">
        <v>46090</v>
      </c>
      <c r="C69" t="s">
        <v>18</v>
      </c>
      <c r="D69" t="s">
        <v>160</v>
      </c>
      <c r="E69" s="19" t="s">
        <v>20</v>
      </c>
      <c r="F69" s="18">
        <v>1</v>
      </c>
      <c r="G69" s="18">
        <v>1000</v>
      </c>
      <c r="H69" s="18">
        <f t="shared" si="6"/>
        <v>1000</v>
      </c>
      <c r="I69" s="18">
        <v>18</v>
      </c>
      <c r="J69" s="18">
        <f t="shared" si="7"/>
        <v>180</v>
      </c>
      <c r="K69" s="18">
        <f t="shared" si="8"/>
        <v>1180</v>
      </c>
      <c r="L69" s="18" t="s">
        <v>16</v>
      </c>
    </row>
    <row r="70" spans="1:12" x14ac:dyDescent="0.3">
      <c r="A70" t="s">
        <v>161</v>
      </c>
      <c r="B70" s="1">
        <v>46091</v>
      </c>
      <c r="C70" t="s">
        <v>22</v>
      </c>
      <c r="D70" t="s">
        <v>162</v>
      </c>
      <c r="E70" s="19" t="s">
        <v>24</v>
      </c>
      <c r="F70" s="18">
        <v>1</v>
      </c>
      <c r="G70" s="18">
        <v>3000</v>
      </c>
      <c r="H70" s="18">
        <f t="shared" si="6"/>
        <v>3000</v>
      </c>
      <c r="I70" s="18">
        <v>18</v>
      </c>
      <c r="J70" s="18">
        <f t="shared" si="7"/>
        <v>540</v>
      </c>
      <c r="K70" s="18">
        <f t="shared" si="8"/>
        <v>3540</v>
      </c>
      <c r="L70" s="18" t="s">
        <v>16</v>
      </c>
    </row>
    <row r="71" spans="1:12" x14ac:dyDescent="0.3">
      <c r="A71" t="s">
        <v>163</v>
      </c>
      <c r="B71" s="1">
        <v>46092</v>
      </c>
      <c r="C71" t="s">
        <v>26</v>
      </c>
      <c r="D71" t="s">
        <v>164</v>
      </c>
      <c r="E71" s="19" t="s">
        <v>28</v>
      </c>
      <c r="F71" s="18">
        <v>1</v>
      </c>
      <c r="G71" s="18">
        <v>1000</v>
      </c>
      <c r="H71" s="18">
        <f t="shared" si="6"/>
        <v>1000</v>
      </c>
      <c r="I71" s="18">
        <v>18</v>
      </c>
      <c r="J71" s="18">
        <f t="shared" si="7"/>
        <v>180</v>
      </c>
      <c r="K71" s="18">
        <f t="shared" si="8"/>
        <v>1180</v>
      </c>
      <c r="L71" s="18" t="s">
        <v>16</v>
      </c>
    </row>
    <row r="72" spans="1:12" x14ac:dyDescent="0.3">
      <c r="A72" t="s">
        <v>165</v>
      </c>
      <c r="B72" s="1">
        <v>46093</v>
      </c>
      <c r="C72" t="s">
        <v>30</v>
      </c>
      <c r="D72" t="s">
        <v>166</v>
      </c>
      <c r="E72" s="19" t="s">
        <v>32</v>
      </c>
      <c r="F72" s="18">
        <v>1</v>
      </c>
      <c r="G72" s="18">
        <v>1000</v>
      </c>
      <c r="H72" s="18">
        <f t="shared" si="6"/>
        <v>1000</v>
      </c>
      <c r="I72" s="18">
        <v>18</v>
      </c>
      <c r="J72" s="18">
        <f t="shared" si="7"/>
        <v>180</v>
      </c>
      <c r="K72" s="18">
        <f t="shared" si="8"/>
        <v>1180</v>
      </c>
      <c r="L72" s="18" t="s">
        <v>16</v>
      </c>
    </row>
    <row r="73" spans="1:12" x14ac:dyDescent="0.3">
      <c r="A73" t="s">
        <v>167</v>
      </c>
      <c r="B73" s="1">
        <v>46094</v>
      </c>
      <c r="C73" t="s">
        <v>34</v>
      </c>
      <c r="D73" t="s">
        <v>168</v>
      </c>
      <c r="E73" s="19" t="s">
        <v>36</v>
      </c>
      <c r="F73" s="18">
        <v>1</v>
      </c>
      <c r="G73" s="18">
        <v>1000</v>
      </c>
      <c r="H73" s="18">
        <f t="shared" si="6"/>
        <v>1000</v>
      </c>
      <c r="I73" s="18">
        <v>18</v>
      </c>
      <c r="J73" s="18">
        <f t="shared" si="7"/>
        <v>180</v>
      </c>
      <c r="K73" s="18">
        <f t="shared" si="8"/>
        <v>1180</v>
      </c>
      <c r="L73" s="18" t="s">
        <v>16</v>
      </c>
    </row>
    <row r="74" spans="1:12" x14ac:dyDescent="0.3">
      <c r="A74" t="s">
        <v>169</v>
      </c>
      <c r="B74" s="1">
        <v>46095</v>
      </c>
      <c r="C74" t="s">
        <v>13</v>
      </c>
      <c r="D74" t="s">
        <v>170</v>
      </c>
      <c r="E74" s="19" t="s">
        <v>15</v>
      </c>
      <c r="F74" s="18">
        <v>1</v>
      </c>
      <c r="G74" s="18">
        <v>1000</v>
      </c>
      <c r="H74" s="18">
        <f t="shared" si="6"/>
        <v>1000</v>
      </c>
      <c r="I74" s="18">
        <v>18</v>
      </c>
      <c r="J74" s="18">
        <f t="shared" si="7"/>
        <v>180</v>
      </c>
      <c r="K74" s="18">
        <f t="shared" si="8"/>
        <v>1180</v>
      </c>
      <c r="L74" s="18" t="s">
        <v>16</v>
      </c>
    </row>
    <row r="75" spans="1:12" x14ac:dyDescent="0.3">
      <c r="A75" t="s">
        <v>171</v>
      </c>
      <c r="B75" s="1">
        <v>46096</v>
      </c>
      <c r="C75" t="s">
        <v>18</v>
      </c>
      <c r="D75" t="s">
        <v>172</v>
      </c>
      <c r="E75" s="19" t="s">
        <v>20</v>
      </c>
      <c r="F75" s="18">
        <v>4</v>
      </c>
      <c r="G75" s="18">
        <v>10000</v>
      </c>
      <c r="H75" s="18">
        <f t="shared" si="6"/>
        <v>40000</v>
      </c>
      <c r="I75" s="18">
        <v>18</v>
      </c>
      <c r="J75" s="18">
        <f t="shared" si="7"/>
        <v>7200</v>
      </c>
      <c r="K75" s="18">
        <f t="shared" si="8"/>
        <v>47200</v>
      </c>
      <c r="L75" s="18" t="s">
        <v>16</v>
      </c>
    </row>
    <row r="76" spans="1:12" x14ac:dyDescent="0.3">
      <c r="A76" t="s">
        <v>173</v>
      </c>
      <c r="B76" s="1">
        <v>46097</v>
      </c>
      <c r="C76" t="s">
        <v>22</v>
      </c>
      <c r="D76" t="s">
        <v>174</v>
      </c>
      <c r="E76" s="19" t="s">
        <v>24</v>
      </c>
      <c r="F76" s="18">
        <v>1</v>
      </c>
      <c r="G76" s="18">
        <v>3000</v>
      </c>
      <c r="H76" s="18">
        <f t="shared" si="6"/>
        <v>3000</v>
      </c>
      <c r="I76" s="18">
        <v>18</v>
      </c>
      <c r="J76" s="18">
        <f t="shared" si="7"/>
        <v>540</v>
      </c>
      <c r="K76" s="18">
        <f t="shared" si="8"/>
        <v>3540</v>
      </c>
      <c r="L76" s="18" t="s">
        <v>16</v>
      </c>
    </row>
    <row r="77" spans="1:12" x14ac:dyDescent="0.3">
      <c r="A77" t="s">
        <v>175</v>
      </c>
      <c r="B77" s="1">
        <v>46098</v>
      </c>
      <c r="C77" t="s">
        <v>26</v>
      </c>
      <c r="D77" t="s">
        <v>176</v>
      </c>
      <c r="E77" s="19" t="s">
        <v>28</v>
      </c>
      <c r="F77" s="18">
        <v>1</v>
      </c>
      <c r="G77" s="18">
        <v>10000</v>
      </c>
      <c r="H77" s="18">
        <f t="shared" si="6"/>
        <v>10000</v>
      </c>
      <c r="I77" s="18">
        <v>18</v>
      </c>
      <c r="J77" s="18">
        <f t="shared" si="7"/>
        <v>1800</v>
      </c>
      <c r="K77" s="18">
        <f t="shared" si="8"/>
        <v>11800</v>
      </c>
      <c r="L77" s="18" t="s">
        <v>16</v>
      </c>
    </row>
    <row r="78" spans="1:12" x14ac:dyDescent="0.3">
      <c r="A78" t="s">
        <v>177</v>
      </c>
      <c r="B78" s="1">
        <v>46099</v>
      </c>
      <c r="C78" t="s">
        <v>30</v>
      </c>
      <c r="D78" t="s">
        <v>178</v>
      </c>
      <c r="E78" s="19" t="s">
        <v>32</v>
      </c>
      <c r="F78" s="18">
        <v>8</v>
      </c>
      <c r="G78" s="18">
        <v>2200</v>
      </c>
      <c r="H78" s="18">
        <f t="shared" si="6"/>
        <v>17600</v>
      </c>
      <c r="I78" s="18">
        <v>18</v>
      </c>
      <c r="J78" s="18">
        <f t="shared" si="7"/>
        <v>3168</v>
      </c>
      <c r="K78" s="18">
        <f t="shared" si="8"/>
        <v>20768</v>
      </c>
      <c r="L78" s="18" t="s">
        <v>16</v>
      </c>
    </row>
    <row r="79" spans="1:12" x14ac:dyDescent="0.3">
      <c r="A79" t="s">
        <v>179</v>
      </c>
      <c r="B79" s="1">
        <v>46100</v>
      </c>
      <c r="C79" t="s">
        <v>34</v>
      </c>
      <c r="D79" t="s">
        <v>180</v>
      </c>
      <c r="E79" s="19" t="s">
        <v>36</v>
      </c>
      <c r="F79" s="18">
        <v>1</v>
      </c>
      <c r="G79" s="18">
        <v>1000</v>
      </c>
      <c r="H79" s="18">
        <f t="shared" si="6"/>
        <v>1000</v>
      </c>
      <c r="I79" s="18">
        <v>18</v>
      </c>
      <c r="J79" s="18">
        <f t="shared" si="7"/>
        <v>180</v>
      </c>
      <c r="K79" s="18">
        <f t="shared" si="8"/>
        <v>1180</v>
      </c>
      <c r="L79" s="18" t="s">
        <v>16</v>
      </c>
    </row>
    <row r="80" spans="1:12" x14ac:dyDescent="0.3">
      <c r="A80" t="s">
        <v>181</v>
      </c>
      <c r="B80" s="1">
        <v>46101</v>
      </c>
      <c r="C80" t="s">
        <v>13</v>
      </c>
      <c r="D80" t="s">
        <v>182</v>
      </c>
      <c r="E80" s="19" t="s">
        <v>15</v>
      </c>
      <c r="F80" s="18">
        <v>6</v>
      </c>
      <c r="G80" s="18">
        <v>25000</v>
      </c>
      <c r="H80" s="18">
        <f t="shared" si="6"/>
        <v>150000</v>
      </c>
      <c r="I80" s="18">
        <v>18</v>
      </c>
      <c r="J80" s="18">
        <f t="shared" si="7"/>
        <v>27000</v>
      </c>
      <c r="K80" s="18">
        <f t="shared" si="8"/>
        <v>177000</v>
      </c>
      <c r="L80" s="18" t="s">
        <v>16</v>
      </c>
    </row>
    <row r="81" spans="1:12" x14ac:dyDescent="0.3">
      <c r="A81" t="s">
        <v>183</v>
      </c>
      <c r="B81" s="1">
        <v>46102</v>
      </c>
      <c r="C81" t="s">
        <v>18</v>
      </c>
      <c r="D81" t="s">
        <v>184</v>
      </c>
      <c r="E81" s="19" t="s">
        <v>20</v>
      </c>
      <c r="F81" s="18">
        <v>3</v>
      </c>
      <c r="G81" s="18">
        <v>10000</v>
      </c>
      <c r="H81" s="18">
        <f t="shared" si="6"/>
        <v>30000</v>
      </c>
      <c r="I81" s="18">
        <v>18</v>
      </c>
      <c r="J81" s="18">
        <f t="shared" si="7"/>
        <v>5400</v>
      </c>
      <c r="K81" s="18">
        <f t="shared" si="8"/>
        <v>35400</v>
      </c>
      <c r="L81" s="18" t="s">
        <v>16</v>
      </c>
    </row>
    <row r="82" spans="1:12" x14ac:dyDescent="0.3">
      <c r="A82" t="s">
        <v>185</v>
      </c>
      <c r="B82" s="1">
        <v>46103</v>
      </c>
      <c r="C82" t="s">
        <v>22</v>
      </c>
      <c r="D82" t="s">
        <v>186</v>
      </c>
      <c r="E82" s="19" t="s">
        <v>24</v>
      </c>
      <c r="F82" s="18">
        <v>1</v>
      </c>
      <c r="G82" s="18">
        <v>1000</v>
      </c>
      <c r="H82" s="18">
        <f t="shared" si="6"/>
        <v>1000</v>
      </c>
      <c r="I82" s="18">
        <v>18</v>
      </c>
      <c r="J82" s="18">
        <f t="shared" si="7"/>
        <v>180</v>
      </c>
      <c r="K82" s="18">
        <f t="shared" si="8"/>
        <v>1180</v>
      </c>
      <c r="L82" s="18" t="s">
        <v>16</v>
      </c>
    </row>
    <row r="83" spans="1:12" x14ac:dyDescent="0.3">
      <c r="A83" t="s">
        <v>187</v>
      </c>
      <c r="B83" s="1">
        <v>46104</v>
      </c>
      <c r="C83" t="s">
        <v>26</v>
      </c>
      <c r="D83" t="s">
        <v>188</v>
      </c>
      <c r="E83" s="19" t="s">
        <v>28</v>
      </c>
      <c r="F83" s="18">
        <v>2</v>
      </c>
      <c r="G83" s="18">
        <v>3000</v>
      </c>
      <c r="H83" s="18">
        <f t="shared" si="6"/>
        <v>6000</v>
      </c>
      <c r="I83" s="18">
        <v>18</v>
      </c>
      <c r="J83" s="18">
        <f t="shared" si="7"/>
        <v>1080</v>
      </c>
      <c r="K83" s="18">
        <f t="shared" si="8"/>
        <v>7080</v>
      </c>
      <c r="L83" s="18" t="s">
        <v>16</v>
      </c>
    </row>
    <row r="84" spans="1:12" x14ac:dyDescent="0.3">
      <c r="A84" t="s">
        <v>189</v>
      </c>
      <c r="B84" s="1">
        <v>46105</v>
      </c>
      <c r="C84" t="s">
        <v>30</v>
      </c>
      <c r="D84" t="s">
        <v>190</v>
      </c>
      <c r="E84" s="19" t="s">
        <v>32</v>
      </c>
      <c r="F84" s="18">
        <v>3</v>
      </c>
      <c r="G84" s="18">
        <v>4000</v>
      </c>
      <c r="H84" s="18">
        <f t="shared" si="6"/>
        <v>12000</v>
      </c>
      <c r="I84" s="18">
        <v>18</v>
      </c>
      <c r="J84" s="18">
        <f t="shared" si="7"/>
        <v>2160</v>
      </c>
      <c r="K84" s="18">
        <f t="shared" si="8"/>
        <v>14160</v>
      </c>
      <c r="L84" s="18" t="s">
        <v>16</v>
      </c>
    </row>
    <row r="85" spans="1:12" x14ac:dyDescent="0.3">
      <c r="A85" t="s">
        <v>191</v>
      </c>
      <c r="B85" s="1">
        <v>46106</v>
      </c>
      <c r="C85" t="s">
        <v>34</v>
      </c>
      <c r="D85" t="s">
        <v>192</v>
      </c>
      <c r="E85" s="19" t="s">
        <v>36</v>
      </c>
      <c r="F85" s="18">
        <v>6</v>
      </c>
      <c r="G85" s="18">
        <v>3000</v>
      </c>
      <c r="H85" s="18">
        <f t="shared" si="6"/>
        <v>18000</v>
      </c>
      <c r="I85" s="18">
        <v>18</v>
      </c>
      <c r="J85" s="18">
        <f t="shared" si="7"/>
        <v>3240</v>
      </c>
      <c r="K85" s="18">
        <f t="shared" si="8"/>
        <v>21240</v>
      </c>
      <c r="L85" s="18" t="s">
        <v>16</v>
      </c>
    </row>
    <row r="86" spans="1:12" x14ac:dyDescent="0.3">
      <c r="A86" t="s">
        <v>193</v>
      </c>
      <c r="B86" s="1">
        <v>46107</v>
      </c>
      <c r="C86" t="s">
        <v>13</v>
      </c>
      <c r="D86" t="s">
        <v>194</v>
      </c>
      <c r="E86" s="19" t="s">
        <v>15</v>
      </c>
      <c r="F86" s="18">
        <v>3</v>
      </c>
      <c r="G86" s="18">
        <v>5000</v>
      </c>
      <c r="H86" s="18">
        <f t="shared" si="6"/>
        <v>15000</v>
      </c>
      <c r="I86" s="18">
        <v>18</v>
      </c>
      <c r="J86" s="18">
        <f t="shared" si="7"/>
        <v>2700</v>
      </c>
      <c r="K86" s="18">
        <f t="shared" si="8"/>
        <v>17700</v>
      </c>
      <c r="L86" s="18" t="s">
        <v>16</v>
      </c>
    </row>
    <row r="87" spans="1:12" x14ac:dyDescent="0.3">
      <c r="A87" t="s">
        <v>195</v>
      </c>
      <c r="B87" s="1">
        <v>46108</v>
      </c>
      <c r="C87" t="s">
        <v>18</v>
      </c>
      <c r="D87" t="s">
        <v>196</v>
      </c>
      <c r="E87" s="19" t="s">
        <v>20</v>
      </c>
      <c r="F87" s="18">
        <v>3</v>
      </c>
      <c r="G87" s="18">
        <v>4000</v>
      </c>
      <c r="H87" s="18">
        <f t="shared" si="6"/>
        <v>12000</v>
      </c>
      <c r="I87" s="18">
        <v>18</v>
      </c>
      <c r="J87" s="18">
        <f t="shared" si="7"/>
        <v>2160</v>
      </c>
      <c r="K87" s="18">
        <f t="shared" si="8"/>
        <v>14160</v>
      </c>
      <c r="L87" s="18" t="s">
        <v>16</v>
      </c>
    </row>
    <row r="88" spans="1:12" x14ac:dyDescent="0.3">
      <c r="A88" t="s">
        <v>197</v>
      </c>
      <c r="B88" s="1">
        <v>46109</v>
      </c>
      <c r="C88" t="s">
        <v>22</v>
      </c>
      <c r="D88" t="s">
        <v>198</v>
      </c>
      <c r="E88" s="19" t="s">
        <v>24</v>
      </c>
      <c r="F88" s="18">
        <v>4</v>
      </c>
      <c r="G88" s="18">
        <v>3000</v>
      </c>
      <c r="H88" s="18">
        <f t="shared" si="6"/>
        <v>12000</v>
      </c>
      <c r="I88" s="18">
        <v>18</v>
      </c>
      <c r="J88" s="18">
        <f t="shared" si="7"/>
        <v>2160</v>
      </c>
      <c r="K88" s="18">
        <f t="shared" si="8"/>
        <v>14160</v>
      </c>
      <c r="L88" s="18" t="s">
        <v>16</v>
      </c>
    </row>
    <row r="89" spans="1:12" x14ac:dyDescent="0.3">
      <c r="A89" t="s">
        <v>199</v>
      </c>
      <c r="B89" s="1">
        <v>46110</v>
      </c>
      <c r="C89" t="s">
        <v>26</v>
      </c>
      <c r="D89" t="s">
        <v>200</v>
      </c>
      <c r="E89" s="19" t="s">
        <v>28</v>
      </c>
      <c r="F89" s="18">
        <v>3</v>
      </c>
      <c r="G89" s="18">
        <v>4500</v>
      </c>
      <c r="H89" s="18">
        <f t="shared" si="6"/>
        <v>13500</v>
      </c>
      <c r="I89" s="18">
        <v>18</v>
      </c>
      <c r="J89" s="18">
        <f t="shared" si="7"/>
        <v>2430</v>
      </c>
      <c r="K89" s="18">
        <f t="shared" si="8"/>
        <v>15930</v>
      </c>
      <c r="L89" s="18" t="s">
        <v>16</v>
      </c>
    </row>
    <row r="90" spans="1:12" x14ac:dyDescent="0.3">
      <c r="A90" t="s">
        <v>201</v>
      </c>
      <c r="B90" s="1">
        <v>46111</v>
      </c>
      <c r="C90" t="s">
        <v>30</v>
      </c>
      <c r="D90" t="s">
        <v>202</v>
      </c>
      <c r="E90" s="19" t="s">
        <v>32</v>
      </c>
      <c r="F90" s="18">
        <v>6</v>
      </c>
      <c r="G90" s="18">
        <v>6500</v>
      </c>
      <c r="H90" s="18">
        <f t="shared" si="6"/>
        <v>39000</v>
      </c>
      <c r="I90" s="18">
        <v>18</v>
      </c>
      <c r="J90" s="18">
        <f t="shared" si="7"/>
        <v>7020</v>
      </c>
      <c r="K90" s="18">
        <f t="shared" si="8"/>
        <v>46020</v>
      </c>
      <c r="L90" s="18" t="s">
        <v>16</v>
      </c>
    </row>
    <row r="91" spans="1:12" x14ac:dyDescent="0.3">
      <c r="A91" t="s">
        <v>203</v>
      </c>
      <c r="B91" s="1">
        <v>46112</v>
      </c>
      <c r="C91" t="s">
        <v>34</v>
      </c>
      <c r="D91" t="s">
        <v>204</v>
      </c>
      <c r="E91" s="19" t="s">
        <v>36</v>
      </c>
      <c r="F91" s="18">
        <v>3</v>
      </c>
      <c r="G91" s="18">
        <v>7000</v>
      </c>
      <c r="H91" s="18">
        <f t="shared" si="6"/>
        <v>21000</v>
      </c>
      <c r="I91" s="18">
        <v>18</v>
      </c>
      <c r="J91" s="18">
        <f t="shared" si="7"/>
        <v>3780</v>
      </c>
      <c r="K91" s="18">
        <f t="shared" si="8"/>
        <v>24780</v>
      </c>
      <c r="L91" s="18" t="s">
        <v>16</v>
      </c>
    </row>
    <row r="92" spans="1:12" x14ac:dyDescent="0.3">
      <c r="A92" t="s">
        <v>205</v>
      </c>
      <c r="B92" s="1">
        <v>46113</v>
      </c>
      <c r="C92" t="s">
        <v>13</v>
      </c>
      <c r="D92" t="s">
        <v>206</v>
      </c>
      <c r="E92" s="19" t="s">
        <v>15</v>
      </c>
      <c r="F92" s="18">
        <v>4</v>
      </c>
      <c r="G92" s="18">
        <v>4500</v>
      </c>
      <c r="H92" s="18">
        <f t="shared" si="6"/>
        <v>18000</v>
      </c>
      <c r="I92" s="18">
        <v>18</v>
      </c>
      <c r="J92" s="18">
        <f t="shared" si="7"/>
        <v>3240</v>
      </c>
      <c r="K92" s="18">
        <f t="shared" si="8"/>
        <v>21240</v>
      </c>
      <c r="L92" s="18" t="s">
        <v>16</v>
      </c>
    </row>
    <row r="93" spans="1:12" x14ac:dyDescent="0.3">
      <c r="A93" t="s">
        <v>207</v>
      </c>
      <c r="B93" s="1">
        <v>46114</v>
      </c>
      <c r="C93" t="s">
        <v>18</v>
      </c>
      <c r="D93" t="s">
        <v>208</v>
      </c>
      <c r="E93" s="19" t="s">
        <v>20</v>
      </c>
      <c r="F93" s="18">
        <v>17</v>
      </c>
      <c r="G93" s="18">
        <v>1700</v>
      </c>
      <c r="H93" s="18">
        <f t="shared" si="6"/>
        <v>28900</v>
      </c>
      <c r="I93" s="18">
        <v>18</v>
      </c>
      <c r="J93" s="18">
        <f t="shared" si="7"/>
        <v>5202</v>
      </c>
      <c r="K93" s="18">
        <f t="shared" si="8"/>
        <v>34102</v>
      </c>
      <c r="L93" s="18" t="s">
        <v>16</v>
      </c>
    </row>
    <row r="94" spans="1:12" x14ac:dyDescent="0.3">
      <c r="A94" t="s">
        <v>209</v>
      </c>
      <c r="B94" s="1">
        <v>46115</v>
      </c>
      <c r="C94" t="s">
        <v>22</v>
      </c>
      <c r="D94" t="s">
        <v>210</v>
      </c>
      <c r="E94" s="19" t="s">
        <v>24</v>
      </c>
      <c r="F94" s="18">
        <v>3</v>
      </c>
      <c r="G94" s="18">
        <v>9000</v>
      </c>
      <c r="H94" s="18">
        <f t="shared" si="6"/>
        <v>27000</v>
      </c>
      <c r="I94" s="18">
        <v>18</v>
      </c>
      <c r="J94" s="18">
        <f t="shared" si="7"/>
        <v>4860</v>
      </c>
      <c r="K94" s="18">
        <f t="shared" si="8"/>
        <v>31860</v>
      </c>
      <c r="L94" s="18" t="s">
        <v>16</v>
      </c>
    </row>
    <row r="95" spans="1:12" x14ac:dyDescent="0.3">
      <c r="A95" t="s">
        <v>211</v>
      </c>
      <c r="B95" s="1">
        <v>46116</v>
      </c>
      <c r="C95" t="s">
        <v>26</v>
      </c>
      <c r="D95" t="s">
        <v>212</v>
      </c>
      <c r="E95" s="19" t="s">
        <v>28</v>
      </c>
      <c r="F95" s="18">
        <v>6</v>
      </c>
      <c r="G95" s="18">
        <v>5600</v>
      </c>
      <c r="H95" s="18">
        <f t="shared" si="6"/>
        <v>33600</v>
      </c>
      <c r="I95" s="18">
        <v>18</v>
      </c>
      <c r="J95" s="18">
        <f t="shared" si="7"/>
        <v>6048</v>
      </c>
      <c r="K95" s="18">
        <f t="shared" si="8"/>
        <v>39648</v>
      </c>
      <c r="L95" s="18" t="s">
        <v>16</v>
      </c>
    </row>
    <row r="96" spans="1:12" x14ac:dyDescent="0.3">
      <c r="A96" t="s">
        <v>213</v>
      </c>
      <c r="B96" s="1">
        <v>46117</v>
      </c>
      <c r="C96" t="s">
        <v>30</v>
      </c>
      <c r="D96" t="s">
        <v>214</v>
      </c>
      <c r="E96" s="19" t="s">
        <v>32</v>
      </c>
      <c r="F96" s="18">
        <v>5</v>
      </c>
      <c r="G96" s="18">
        <v>6600</v>
      </c>
      <c r="H96" s="18">
        <f t="shared" si="6"/>
        <v>33000</v>
      </c>
      <c r="I96" s="18">
        <v>18</v>
      </c>
      <c r="J96" s="18">
        <f t="shared" si="7"/>
        <v>5940</v>
      </c>
      <c r="K96" s="18">
        <f t="shared" si="8"/>
        <v>38940</v>
      </c>
      <c r="L96" s="18" t="s">
        <v>16</v>
      </c>
    </row>
    <row r="97" spans="1:12" x14ac:dyDescent="0.3">
      <c r="A97" t="s">
        <v>215</v>
      </c>
      <c r="B97" s="1">
        <v>46118</v>
      </c>
      <c r="C97" t="s">
        <v>34</v>
      </c>
      <c r="D97" t="s">
        <v>216</v>
      </c>
      <c r="E97" s="19" t="s">
        <v>36</v>
      </c>
      <c r="F97" s="18">
        <v>1</v>
      </c>
      <c r="G97" s="18">
        <v>1000</v>
      </c>
      <c r="H97" s="18">
        <f t="shared" si="6"/>
        <v>1000</v>
      </c>
      <c r="I97" s="18">
        <v>18</v>
      </c>
      <c r="J97" s="18">
        <f t="shared" si="7"/>
        <v>180</v>
      </c>
      <c r="K97" s="18">
        <f t="shared" si="8"/>
        <v>1180</v>
      </c>
      <c r="L97" s="18" t="s">
        <v>16</v>
      </c>
    </row>
    <row r="98" spans="1:12" x14ac:dyDescent="0.3">
      <c r="A98" t="s">
        <v>217</v>
      </c>
      <c r="B98" s="1">
        <v>46119</v>
      </c>
      <c r="C98" t="s">
        <v>13</v>
      </c>
      <c r="D98" t="s">
        <v>218</v>
      </c>
      <c r="E98" s="19" t="s">
        <v>15</v>
      </c>
      <c r="F98" s="18">
        <v>1</v>
      </c>
      <c r="G98" s="18">
        <v>1000</v>
      </c>
      <c r="H98" s="18">
        <f t="shared" ref="H98:H129" si="9">F98*G98</f>
        <v>1000</v>
      </c>
      <c r="I98" s="18">
        <v>18</v>
      </c>
      <c r="J98" s="18">
        <f t="shared" ref="J98:J129" si="10">H98*I98/100</f>
        <v>180</v>
      </c>
      <c r="K98" s="18">
        <f t="shared" ref="K98:K129" si="11">H98+J98</f>
        <v>1180</v>
      </c>
      <c r="L98" s="18" t="s">
        <v>16</v>
      </c>
    </row>
    <row r="99" spans="1:12" x14ac:dyDescent="0.3">
      <c r="A99" t="s">
        <v>219</v>
      </c>
      <c r="B99" s="1">
        <v>46120</v>
      </c>
      <c r="C99" t="s">
        <v>18</v>
      </c>
      <c r="D99" t="s">
        <v>220</v>
      </c>
      <c r="E99" s="19" t="s">
        <v>20</v>
      </c>
      <c r="F99" s="18">
        <v>12</v>
      </c>
      <c r="G99" s="18">
        <v>4000</v>
      </c>
      <c r="H99" s="18">
        <f t="shared" si="9"/>
        <v>48000</v>
      </c>
      <c r="I99" s="18">
        <v>18</v>
      </c>
      <c r="J99" s="18">
        <f t="shared" si="10"/>
        <v>8640</v>
      </c>
      <c r="K99" s="18">
        <f t="shared" si="11"/>
        <v>56640</v>
      </c>
      <c r="L99" s="18" t="s">
        <v>16</v>
      </c>
    </row>
    <row r="100" spans="1:12" x14ac:dyDescent="0.3">
      <c r="A100" t="s">
        <v>221</v>
      </c>
      <c r="B100" s="1">
        <v>46121</v>
      </c>
      <c r="C100" t="s">
        <v>22</v>
      </c>
      <c r="D100" t="s">
        <v>222</v>
      </c>
      <c r="E100" s="19" t="s">
        <v>24</v>
      </c>
      <c r="F100" s="18">
        <v>3</v>
      </c>
      <c r="G100" s="18">
        <v>900</v>
      </c>
      <c r="H100" s="18">
        <f t="shared" si="9"/>
        <v>2700</v>
      </c>
      <c r="I100" s="18">
        <v>18</v>
      </c>
      <c r="J100" s="18">
        <f t="shared" si="10"/>
        <v>486</v>
      </c>
      <c r="K100" s="18">
        <f t="shared" si="11"/>
        <v>3186</v>
      </c>
      <c r="L100" s="18" t="s">
        <v>16</v>
      </c>
    </row>
    <row r="101" spans="1:12" x14ac:dyDescent="0.3">
      <c r="A101" t="s">
        <v>223</v>
      </c>
      <c r="B101" s="1">
        <v>46122</v>
      </c>
      <c r="C101" t="s">
        <v>26</v>
      </c>
      <c r="D101" t="s">
        <v>224</v>
      </c>
      <c r="E101" s="19" t="s">
        <v>28</v>
      </c>
      <c r="F101" s="18">
        <v>1</v>
      </c>
      <c r="G101" s="18">
        <v>450</v>
      </c>
      <c r="H101" s="18">
        <f t="shared" si="9"/>
        <v>450</v>
      </c>
      <c r="I101" s="18">
        <v>18</v>
      </c>
      <c r="J101" s="18">
        <f t="shared" si="10"/>
        <v>81</v>
      </c>
      <c r="K101" s="18">
        <f t="shared" si="11"/>
        <v>531</v>
      </c>
      <c r="L101" s="18" t="s">
        <v>16</v>
      </c>
    </row>
    <row r="102" spans="1:12" x14ac:dyDescent="0.3">
      <c r="A102" t="s">
        <v>225</v>
      </c>
      <c r="B102" s="1">
        <v>46123</v>
      </c>
      <c r="C102" t="s">
        <v>30</v>
      </c>
      <c r="D102" t="s">
        <v>226</v>
      </c>
      <c r="E102" s="19" t="s">
        <v>32</v>
      </c>
      <c r="F102" s="18">
        <v>3</v>
      </c>
      <c r="G102" s="18">
        <v>1000</v>
      </c>
      <c r="H102" s="18">
        <f t="shared" si="9"/>
        <v>3000</v>
      </c>
      <c r="I102" s="18">
        <v>18</v>
      </c>
      <c r="J102" s="18">
        <f t="shared" si="10"/>
        <v>540</v>
      </c>
      <c r="K102" s="18">
        <f t="shared" si="11"/>
        <v>3540</v>
      </c>
      <c r="L102" s="18" t="s">
        <v>16</v>
      </c>
    </row>
    <row r="103" spans="1:12" x14ac:dyDescent="0.3">
      <c r="A103" t="s">
        <v>227</v>
      </c>
      <c r="B103" s="1">
        <v>46124</v>
      </c>
      <c r="C103" t="s">
        <v>34</v>
      </c>
      <c r="D103" t="s">
        <v>228</v>
      </c>
      <c r="E103" s="19" t="s">
        <v>36</v>
      </c>
      <c r="F103" s="18">
        <v>3</v>
      </c>
      <c r="G103" s="18">
        <v>20000</v>
      </c>
      <c r="H103" s="18">
        <f t="shared" si="9"/>
        <v>60000</v>
      </c>
      <c r="I103" s="18">
        <v>18</v>
      </c>
      <c r="J103" s="18">
        <f t="shared" si="10"/>
        <v>10800</v>
      </c>
      <c r="K103" s="18">
        <f t="shared" si="11"/>
        <v>70800</v>
      </c>
      <c r="L103" s="18" t="s">
        <v>16</v>
      </c>
    </row>
    <row r="104" spans="1:12" x14ac:dyDescent="0.3">
      <c r="A104" t="s">
        <v>229</v>
      </c>
      <c r="B104" s="1">
        <v>46125</v>
      </c>
      <c r="C104" t="s">
        <v>13</v>
      </c>
      <c r="D104" t="s">
        <v>230</v>
      </c>
      <c r="E104" s="19" t="s">
        <v>15</v>
      </c>
      <c r="F104" s="18">
        <v>4</v>
      </c>
      <c r="G104" s="18">
        <v>4500</v>
      </c>
      <c r="H104" s="18">
        <f t="shared" si="9"/>
        <v>18000</v>
      </c>
      <c r="I104" s="18">
        <v>18</v>
      </c>
      <c r="J104" s="18">
        <f t="shared" si="10"/>
        <v>3240</v>
      </c>
      <c r="K104" s="18">
        <f t="shared" si="11"/>
        <v>21240</v>
      </c>
      <c r="L104" s="18" t="s">
        <v>16</v>
      </c>
    </row>
    <row r="105" spans="1:12" x14ac:dyDescent="0.3">
      <c r="A105" t="s">
        <v>231</v>
      </c>
      <c r="B105" s="1">
        <v>46126</v>
      </c>
      <c r="C105" t="s">
        <v>18</v>
      </c>
      <c r="D105" t="s">
        <v>232</v>
      </c>
      <c r="E105" s="19" t="s">
        <v>20</v>
      </c>
      <c r="F105" s="18">
        <v>3</v>
      </c>
      <c r="G105" s="18">
        <v>10000</v>
      </c>
      <c r="H105" s="18">
        <f t="shared" si="9"/>
        <v>30000</v>
      </c>
      <c r="I105" s="18">
        <v>18</v>
      </c>
      <c r="J105" s="18">
        <f t="shared" si="10"/>
        <v>5400</v>
      </c>
      <c r="K105" s="18">
        <f t="shared" si="11"/>
        <v>35400</v>
      </c>
      <c r="L105" s="18" t="s">
        <v>16</v>
      </c>
    </row>
    <row r="106" spans="1:12" x14ac:dyDescent="0.3">
      <c r="A106" t="s">
        <v>233</v>
      </c>
      <c r="B106" s="1">
        <v>46127</v>
      </c>
      <c r="C106" t="s">
        <v>22</v>
      </c>
      <c r="D106" t="s">
        <v>234</v>
      </c>
      <c r="E106" s="19" t="s">
        <v>24</v>
      </c>
      <c r="F106" s="18">
        <v>4</v>
      </c>
      <c r="G106" s="18">
        <v>5900</v>
      </c>
      <c r="H106" s="18">
        <f t="shared" si="9"/>
        <v>23600</v>
      </c>
      <c r="I106" s="18">
        <v>18</v>
      </c>
      <c r="J106" s="18">
        <f t="shared" si="10"/>
        <v>4248</v>
      </c>
      <c r="K106" s="18">
        <f t="shared" si="11"/>
        <v>27848</v>
      </c>
      <c r="L106" s="18" t="s">
        <v>16</v>
      </c>
    </row>
    <row r="107" spans="1:12" x14ac:dyDescent="0.3">
      <c r="A107" t="s">
        <v>235</v>
      </c>
      <c r="B107" s="1">
        <v>46128</v>
      </c>
      <c r="C107" t="s">
        <v>26</v>
      </c>
      <c r="D107" t="s">
        <v>236</v>
      </c>
      <c r="E107" s="19" t="s">
        <v>28</v>
      </c>
      <c r="F107" s="18">
        <v>5</v>
      </c>
      <c r="G107" s="18">
        <v>4500</v>
      </c>
      <c r="H107" s="18">
        <f t="shared" si="9"/>
        <v>22500</v>
      </c>
      <c r="I107" s="18">
        <v>18</v>
      </c>
      <c r="J107" s="18">
        <f t="shared" si="10"/>
        <v>4050</v>
      </c>
      <c r="K107" s="18">
        <f t="shared" si="11"/>
        <v>26550</v>
      </c>
      <c r="L107" s="18" t="s">
        <v>16</v>
      </c>
    </row>
    <row r="108" spans="1:12" x14ac:dyDescent="0.3">
      <c r="A108" t="s">
        <v>237</v>
      </c>
      <c r="B108" s="1">
        <v>46129</v>
      </c>
      <c r="C108" t="s">
        <v>30</v>
      </c>
      <c r="D108" t="s">
        <v>238</v>
      </c>
      <c r="E108" s="19" t="s">
        <v>32</v>
      </c>
      <c r="F108" s="18">
        <v>7</v>
      </c>
      <c r="G108" s="18">
        <v>300</v>
      </c>
      <c r="H108" s="18">
        <f t="shared" si="9"/>
        <v>2100</v>
      </c>
      <c r="I108" s="18">
        <v>18</v>
      </c>
      <c r="J108" s="18">
        <f t="shared" si="10"/>
        <v>378</v>
      </c>
      <c r="K108" s="18">
        <f t="shared" si="11"/>
        <v>2478</v>
      </c>
      <c r="L108" s="18" t="s">
        <v>16</v>
      </c>
    </row>
    <row r="109" spans="1:12" x14ac:dyDescent="0.3">
      <c r="A109" t="s">
        <v>239</v>
      </c>
      <c r="B109" s="1">
        <v>46130</v>
      </c>
      <c r="C109" t="s">
        <v>34</v>
      </c>
      <c r="D109" t="s">
        <v>240</v>
      </c>
      <c r="E109" s="19" t="s">
        <v>36</v>
      </c>
      <c r="F109" s="18">
        <v>3</v>
      </c>
      <c r="G109" s="18">
        <v>2500</v>
      </c>
      <c r="H109" s="18">
        <f t="shared" si="9"/>
        <v>7500</v>
      </c>
      <c r="I109" s="18">
        <v>18</v>
      </c>
      <c r="J109" s="18">
        <f t="shared" si="10"/>
        <v>1350</v>
      </c>
      <c r="K109" s="18">
        <f t="shared" si="11"/>
        <v>8850</v>
      </c>
      <c r="L109" s="18" t="s">
        <v>16</v>
      </c>
    </row>
    <row r="110" spans="1:12" x14ac:dyDescent="0.3">
      <c r="A110" t="s">
        <v>241</v>
      </c>
      <c r="B110" s="1">
        <v>46131</v>
      </c>
      <c r="C110" t="s">
        <v>13</v>
      </c>
      <c r="D110" t="s">
        <v>242</v>
      </c>
      <c r="E110" s="19" t="s">
        <v>15</v>
      </c>
      <c r="F110" s="18">
        <v>2</v>
      </c>
      <c r="G110" s="18">
        <v>11000</v>
      </c>
      <c r="H110" s="18">
        <f t="shared" si="9"/>
        <v>22000</v>
      </c>
      <c r="I110" s="18">
        <v>18</v>
      </c>
      <c r="J110" s="18">
        <f t="shared" si="10"/>
        <v>3960</v>
      </c>
      <c r="K110" s="18">
        <f t="shared" si="11"/>
        <v>25960</v>
      </c>
      <c r="L110" s="18" t="s">
        <v>16</v>
      </c>
    </row>
    <row r="111" spans="1:12" x14ac:dyDescent="0.3">
      <c r="A111" t="s">
        <v>243</v>
      </c>
      <c r="B111" s="1">
        <v>46132</v>
      </c>
      <c r="C111" t="s">
        <v>18</v>
      </c>
      <c r="D111" t="s">
        <v>244</v>
      </c>
      <c r="E111" s="19" t="s">
        <v>20</v>
      </c>
      <c r="F111" s="18">
        <v>4</v>
      </c>
      <c r="G111" s="18">
        <v>4000</v>
      </c>
      <c r="H111" s="18">
        <f t="shared" si="9"/>
        <v>16000</v>
      </c>
      <c r="I111" s="18">
        <v>18</v>
      </c>
      <c r="J111" s="18">
        <f t="shared" si="10"/>
        <v>2880</v>
      </c>
      <c r="K111" s="18">
        <f t="shared" si="11"/>
        <v>18880</v>
      </c>
      <c r="L111" s="18" t="s">
        <v>16</v>
      </c>
    </row>
    <row r="112" spans="1:12" x14ac:dyDescent="0.3">
      <c r="A112" t="s">
        <v>245</v>
      </c>
      <c r="B112" s="1">
        <v>46133</v>
      </c>
      <c r="C112" t="s">
        <v>22</v>
      </c>
      <c r="D112" t="s">
        <v>246</v>
      </c>
      <c r="E112" s="19" t="s">
        <v>24</v>
      </c>
      <c r="F112" s="18">
        <v>3</v>
      </c>
      <c r="G112" s="18">
        <v>3200</v>
      </c>
      <c r="H112" s="18">
        <f t="shared" si="9"/>
        <v>9600</v>
      </c>
      <c r="I112" s="18">
        <v>18</v>
      </c>
      <c r="J112" s="18">
        <f t="shared" si="10"/>
        <v>1728</v>
      </c>
      <c r="K112" s="18">
        <f t="shared" si="11"/>
        <v>11328</v>
      </c>
      <c r="L112" s="18" t="s">
        <v>16</v>
      </c>
    </row>
    <row r="113" spans="1:12" x14ac:dyDescent="0.3">
      <c r="A113" t="s">
        <v>247</v>
      </c>
      <c r="B113" s="1">
        <v>46134</v>
      </c>
      <c r="C113" t="s">
        <v>26</v>
      </c>
      <c r="D113" t="s">
        <v>248</v>
      </c>
      <c r="E113" s="19" t="s">
        <v>28</v>
      </c>
      <c r="F113" s="18">
        <v>2</v>
      </c>
      <c r="G113" s="18">
        <v>2500</v>
      </c>
      <c r="H113" s="18">
        <f t="shared" si="9"/>
        <v>5000</v>
      </c>
      <c r="I113" s="18">
        <v>18</v>
      </c>
      <c r="J113" s="18">
        <f t="shared" si="10"/>
        <v>900</v>
      </c>
      <c r="K113" s="18">
        <f t="shared" si="11"/>
        <v>5900</v>
      </c>
      <c r="L113" s="18" t="s">
        <v>16</v>
      </c>
    </row>
    <row r="114" spans="1:12" x14ac:dyDescent="0.3">
      <c r="A114" t="s">
        <v>249</v>
      </c>
      <c r="B114" s="1">
        <v>46135</v>
      </c>
      <c r="C114" t="s">
        <v>30</v>
      </c>
      <c r="D114" t="s">
        <v>250</v>
      </c>
      <c r="E114" s="19" t="s">
        <v>32</v>
      </c>
      <c r="F114" s="18">
        <v>3</v>
      </c>
      <c r="G114" s="18">
        <v>5600</v>
      </c>
      <c r="H114" s="18">
        <f t="shared" si="9"/>
        <v>16800</v>
      </c>
      <c r="I114" s="18">
        <v>18</v>
      </c>
      <c r="J114" s="18">
        <f t="shared" si="10"/>
        <v>3024</v>
      </c>
      <c r="K114" s="18">
        <f t="shared" si="11"/>
        <v>19824</v>
      </c>
      <c r="L114" s="18" t="s">
        <v>16</v>
      </c>
    </row>
    <row r="115" spans="1:12" x14ac:dyDescent="0.3">
      <c r="A115" t="s">
        <v>251</v>
      </c>
      <c r="B115" s="1">
        <v>46136</v>
      </c>
      <c r="C115" t="s">
        <v>34</v>
      </c>
      <c r="D115" t="s">
        <v>252</v>
      </c>
      <c r="E115" s="19" t="s">
        <v>36</v>
      </c>
      <c r="F115" s="18">
        <v>5</v>
      </c>
      <c r="G115" s="18">
        <v>20000</v>
      </c>
      <c r="H115" s="18">
        <f t="shared" si="9"/>
        <v>100000</v>
      </c>
      <c r="I115" s="18">
        <v>18</v>
      </c>
      <c r="J115" s="18">
        <f t="shared" si="10"/>
        <v>18000</v>
      </c>
      <c r="K115" s="18">
        <f t="shared" si="11"/>
        <v>118000</v>
      </c>
      <c r="L115" s="18" t="s">
        <v>16</v>
      </c>
    </row>
    <row r="116" spans="1:12" x14ac:dyDescent="0.3">
      <c r="A116" t="s">
        <v>253</v>
      </c>
      <c r="B116" s="1">
        <v>46137</v>
      </c>
      <c r="C116" t="s">
        <v>13</v>
      </c>
      <c r="D116" t="s">
        <v>254</v>
      </c>
      <c r="E116" s="19" t="s">
        <v>15</v>
      </c>
      <c r="F116" s="18">
        <v>1</v>
      </c>
      <c r="G116" s="18">
        <v>20000</v>
      </c>
      <c r="H116" s="18">
        <f t="shared" si="9"/>
        <v>20000</v>
      </c>
      <c r="I116" s="18">
        <v>18</v>
      </c>
      <c r="J116" s="18">
        <f t="shared" si="10"/>
        <v>3600</v>
      </c>
      <c r="K116" s="18">
        <f t="shared" si="11"/>
        <v>23600</v>
      </c>
      <c r="L116" s="18" t="s">
        <v>16</v>
      </c>
    </row>
    <row r="117" spans="1:12" x14ac:dyDescent="0.3">
      <c r="A117" t="s">
        <v>255</v>
      </c>
      <c r="B117" s="1">
        <v>46138</v>
      </c>
      <c r="C117" t="s">
        <v>18</v>
      </c>
      <c r="D117" t="s">
        <v>256</v>
      </c>
      <c r="E117" s="19" t="s">
        <v>20</v>
      </c>
      <c r="F117" s="21">
        <v>1</v>
      </c>
      <c r="G117" s="21">
        <v>1000</v>
      </c>
      <c r="H117" s="18">
        <f t="shared" si="9"/>
        <v>1000</v>
      </c>
      <c r="I117" s="18">
        <v>18</v>
      </c>
      <c r="J117" s="18">
        <f t="shared" si="10"/>
        <v>180</v>
      </c>
      <c r="K117" s="18">
        <f t="shared" si="11"/>
        <v>1180</v>
      </c>
      <c r="L117" s="18" t="s">
        <v>16</v>
      </c>
    </row>
    <row r="118" spans="1:12" x14ac:dyDescent="0.3">
      <c r="A118" t="s">
        <v>257</v>
      </c>
      <c r="B118" s="1">
        <v>46139</v>
      </c>
      <c r="C118" t="s">
        <v>22</v>
      </c>
      <c r="D118" t="s">
        <v>258</v>
      </c>
      <c r="E118" s="19" t="s">
        <v>24</v>
      </c>
      <c r="F118" s="21">
        <v>7</v>
      </c>
      <c r="G118" s="21">
        <v>730</v>
      </c>
      <c r="H118" s="18">
        <f t="shared" si="9"/>
        <v>5110</v>
      </c>
      <c r="I118" s="18">
        <v>18</v>
      </c>
      <c r="J118" s="18">
        <f t="shared" si="10"/>
        <v>919.8</v>
      </c>
      <c r="K118" s="18">
        <f t="shared" si="11"/>
        <v>6029.8</v>
      </c>
      <c r="L118" s="18" t="s">
        <v>16</v>
      </c>
    </row>
    <row r="119" spans="1:12" x14ac:dyDescent="0.3">
      <c r="A119" t="s">
        <v>259</v>
      </c>
      <c r="B119" s="1">
        <v>46140</v>
      </c>
      <c r="C119" t="s">
        <v>26</v>
      </c>
      <c r="D119" t="s">
        <v>260</v>
      </c>
      <c r="E119" s="19" t="s">
        <v>28</v>
      </c>
      <c r="F119" s="18">
        <v>5</v>
      </c>
      <c r="G119" s="18">
        <v>580</v>
      </c>
      <c r="H119" s="18">
        <f t="shared" si="9"/>
        <v>2900</v>
      </c>
      <c r="I119" s="18">
        <v>18</v>
      </c>
      <c r="J119" s="18">
        <f t="shared" si="10"/>
        <v>522</v>
      </c>
      <c r="K119" s="18">
        <f t="shared" si="11"/>
        <v>3422</v>
      </c>
      <c r="L119" s="18" t="s">
        <v>16</v>
      </c>
    </row>
    <row r="120" spans="1:12" x14ac:dyDescent="0.3">
      <c r="A120" t="s">
        <v>261</v>
      </c>
      <c r="B120" s="1">
        <v>46141</v>
      </c>
      <c r="C120" t="s">
        <v>30</v>
      </c>
      <c r="D120" t="s">
        <v>262</v>
      </c>
      <c r="E120" s="19" t="s">
        <v>32</v>
      </c>
      <c r="F120" s="18">
        <v>1</v>
      </c>
      <c r="G120" s="18">
        <v>350</v>
      </c>
      <c r="H120" s="18">
        <f t="shared" si="9"/>
        <v>350</v>
      </c>
      <c r="I120" s="18">
        <v>18</v>
      </c>
      <c r="J120" s="18">
        <f t="shared" si="10"/>
        <v>63</v>
      </c>
      <c r="K120" s="18">
        <f t="shared" si="11"/>
        <v>413</v>
      </c>
      <c r="L120" s="18" t="s">
        <v>16</v>
      </c>
    </row>
    <row r="121" spans="1:12" x14ac:dyDescent="0.3">
      <c r="A121" t="s">
        <v>263</v>
      </c>
      <c r="B121" s="1">
        <v>46142</v>
      </c>
      <c r="C121" t="s">
        <v>34</v>
      </c>
      <c r="D121" t="s">
        <v>264</v>
      </c>
      <c r="E121" s="19" t="s">
        <v>36</v>
      </c>
      <c r="F121" s="18">
        <v>1</v>
      </c>
      <c r="G121" s="18">
        <v>2000</v>
      </c>
      <c r="H121" s="18">
        <f t="shared" si="9"/>
        <v>2000</v>
      </c>
      <c r="I121" s="18">
        <v>18</v>
      </c>
      <c r="J121" s="18">
        <f t="shared" si="10"/>
        <v>360</v>
      </c>
      <c r="K121" s="18">
        <f t="shared" si="11"/>
        <v>2360</v>
      </c>
      <c r="L121" s="18" t="s">
        <v>16</v>
      </c>
    </row>
    <row r="122" spans="1:12" x14ac:dyDescent="0.3">
      <c r="A122" t="s">
        <v>265</v>
      </c>
      <c r="B122" s="1">
        <v>46143</v>
      </c>
      <c r="C122" t="s">
        <v>13</v>
      </c>
      <c r="D122" t="s">
        <v>266</v>
      </c>
      <c r="E122" s="19" t="s">
        <v>15</v>
      </c>
      <c r="F122" s="18">
        <v>1</v>
      </c>
      <c r="G122" s="18">
        <v>5000</v>
      </c>
      <c r="H122" s="18">
        <f t="shared" si="9"/>
        <v>5000</v>
      </c>
      <c r="I122" s="18">
        <v>18</v>
      </c>
      <c r="J122" s="18">
        <f t="shared" si="10"/>
        <v>900</v>
      </c>
      <c r="K122" s="18">
        <f t="shared" si="11"/>
        <v>5900</v>
      </c>
      <c r="L122" s="18" t="s">
        <v>16</v>
      </c>
    </row>
    <row r="123" spans="1:12" x14ac:dyDescent="0.3">
      <c r="A123" t="s">
        <v>267</v>
      </c>
      <c r="B123" s="1">
        <v>46144</v>
      </c>
      <c r="C123" t="s">
        <v>18</v>
      </c>
      <c r="D123" t="s">
        <v>268</v>
      </c>
      <c r="E123" s="19" t="s">
        <v>20</v>
      </c>
      <c r="F123" s="18">
        <v>1</v>
      </c>
      <c r="G123" s="18">
        <v>6000</v>
      </c>
      <c r="H123" s="18">
        <f t="shared" si="9"/>
        <v>6000</v>
      </c>
      <c r="I123" s="18">
        <v>18</v>
      </c>
      <c r="J123" s="18">
        <f t="shared" si="10"/>
        <v>1080</v>
      </c>
      <c r="K123" s="18">
        <f t="shared" si="11"/>
        <v>7080</v>
      </c>
      <c r="L123" s="18" t="s">
        <v>16</v>
      </c>
    </row>
    <row r="124" spans="1:12" x14ac:dyDescent="0.3">
      <c r="A124" t="s">
        <v>269</v>
      </c>
      <c r="B124" s="1">
        <v>46145</v>
      </c>
      <c r="C124" t="s">
        <v>22</v>
      </c>
      <c r="D124" t="s">
        <v>270</v>
      </c>
      <c r="E124" s="19" t="s">
        <v>24</v>
      </c>
      <c r="F124" s="18">
        <v>7</v>
      </c>
      <c r="G124" s="18">
        <v>2300</v>
      </c>
      <c r="H124" s="18">
        <f t="shared" si="9"/>
        <v>16100</v>
      </c>
      <c r="I124" s="18">
        <v>18</v>
      </c>
      <c r="J124" s="18">
        <f t="shared" si="10"/>
        <v>2898</v>
      </c>
      <c r="K124" s="18">
        <f t="shared" si="11"/>
        <v>18998</v>
      </c>
      <c r="L124" s="18" t="s">
        <v>16</v>
      </c>
    </row>
    <row r="125" spans="1:12" x14ac:dyDescent="0.3">
      <c r="A125" t="s">
        <v>271</v>
      </c>
      <c r="B125" s="1">
        <v>46146</v>
      </c>
      <c r="C125" t="s">
        <v>26</v>
      </c>
      <c r="D125" t="s">
        <v>272</v>
      </c>
      <c r="E125" s="19" t="s">
        <v>28</v>
      </c>
      <c r="F125" s="18">
        <v>1</v>
      </c>
      <c r="G125" s="18">
        <v>1700</v>
      </c>
      <c r="H125" s="18">
        <f t="shared" si="9"/>
        <v>1700</v>
      </c>
      <c r="I125" s="18">
        <v>18</v>
      </c>
      <c r="J125" s="18">
        <f t="shared" si="10"/>
        <v>306</v>
      </c>
      <c r="K125" s="18">
        <f t="shared" si="11"/>
        <v>2006</v>
      </c>
      <c r="L125" s="18" t="s">
        <v>16</v>
      </c>
    </row>
    <row r="126" spans="1:12" x14ac:dyDescent="0.3">
      <c r="A126" t="s">
        <v>273</v>
      </c>
      <c r="B126" s="1">
        <v>46147</v>
      </c>
      <c r="C126" t="s">
        <v>30</v>
      </c>
      <c r="D126" t="s">
        <v>274</v>
      </c>
      <c r="E126" s="19" t="s">
        <v>32</v>
      </c>
      <c r="F126" s="18">
        <v>1</v>
      </c>
      <c r="G126" s="18">
        <v>1000</v>
      </c>
      <c r="H126" s="18">
        <f t="shared" si="9"/>
        <v>1000</v>
      </c>
      <c r="I126" s="18">
        <v>18</v>
      </c>
      <c r="J126" s="18">
        <f t="shared" si="10"/>
        <v>180</v>
      </c>
      <c r="K126" s="18">
        <f t="shared" si="11"/>
        <v>1180</v>
      </c>
      <c r="L126" s="18" t="s">
        <v>16</v>
      </c>
    </row>
    <row r="127" spans="1:12" x14ac:dyDescent="0.3">
      <c r="A127" t="s">
        <v>275</v>
      </c>
      <c r="B127" s="1">
        <v>46148</v>
      </c>
      <c r="C127" t="s">
        <v>34</v>
      </c>
      <c r="D127" t="s">
        <v>276</v>
      </c>
      <c r="E127" s="19" t="s">
        <v>36</v>
      </c>
      <c r="F127" s="18">
        <v>1</v>
      </c>
      <c r="G127" s="18">
        <v>1000</v>
      </c>
      <c r="H127" s="18">
        <f t="shared" si="9"/>
        <v>1000</v>
      </c>
      <c r="I127" s="18">
        <v>18</v>
      </c>
      <c r="J127" s="18">
        <f t="shared" si="10"/>
        <v>180</v>
      </c>
      <c r="K127" s="18">
        <f t="shared" si="11"/>
        <v>1180</v>
      </c>
      <c r="L127" s="18" t="s">
        <v>16</v>
      </c>
    </row>
    <row r="128" spans="1:12" x14ac:dyDescent="0.3">
      <c r="A128" t="s">
        <v>277</v>
      </c>
      <c r="B128" s="1">
        <v>46149</v>
      </c>
      <c r="C128" t="s">
        <v>13</v>
      </c>
      <c r="D128" t="s">
        <v>278</v>
      </c>
      <c r="E128" s="19" t="s">
        <v>15</v>
      </c>
      <c r="F128" s="18">
        <v>2</v>
      </c>
      <c r="G128" s="18">
        <v>8000</v>
      </c>
      <c r="H128" s="18">
        <f t="shared" si="9"/>
        <v>16000</v>
      </c>
      <c r="I128" s="18">
        <v>18</v>
      </c>
      <c r="J128" s="18">
        <f t="shared" si="10"/>
        <v>2880</v>
      </c>
      <c r="K128" s="18">
        <f t="shared" si="11"/>
        <v>18880</v>
      </c>
      <c r="L128" s="18" t="s">
        <v>16</v>
      </c>
    </row>
    <row r="129" spans="1:12" x14ac:dyDescent="0.3">
      <c r="A129" t="s">
        <v>279</v>
      </c>
      <c r="B129" s="1">
        <v>46150</v>
      </c>
      <c r="C129" t="s">
        <v>18</v>
      </c>
      <c r="D129" t="s">
        <v>280</v>
      </c>
      <c r="E129" s="19" t="s">
        <v>20</v>
      </c>
      <c r="F129" s="18">
        <v>4</v>
      </c>
      <c r="G129" s="18">
        <v>6000</v>
      </c>
      <c r="H129" s="18">
        <f t="shared" si="9"/>
        <v>24000</v>
      </c>
      <c r="I129" s="18">
        <v>18</v>
      </c>
      <c r="J129" s="18">
        <f t="shared" si="10"/>
        <v>4320</v>
      </c>
      <c r="K129" s="18">
        <f t="shared" si="11"/>
        <v>28320</v>
      </c>
      <c r="L129" s="18" t="s">
        <v>16</v>
      </c>
    </row>
    <row r="130" spans="1:12" x14ac:dyDescent="0.3">
      <c r="A130" t="s">
        <v>281</v>
      </c>
      <c r="B130" s="1">
        <v>46151</v>
      </c>
      <c r="C130" t="s">
        <v>22</v>
      </c>
      <c r="D130" t="s">
        <v>282</v>
      </c>
      <c r="E130" s="19" t="s">
        <v>24</v>
      </c>
      <c r="F130" s="18">
        <v>1</v>
      </c>
      <c r="G130" s="18">
        <v>1000</v>
      </c>
      <c r="H130" s="18">
        <f t="shared" ref="H130:H151" si="12">F130*G130</f>
        <v>1000</v>
      </c>
      <c r="I130" s="18">
        <v>18</v>
      </c>
      <c r="J130" s="18">
        <f t="shared" ref="J130:J151" si="13">H130*I130/100</f>
        <v>180</v>
      </c>
      <c r="K130" s="18">
        <f t="shared" ref="K130:K151" si="14">H130+J130</f>
        <v>1180</v>
      </c>
      <c r="L130" s="18" t="s">
        <v>16</v>
      </c>
    </row>
    <row r="131" spans="1:12" x14ac:dyDescent="0.3">
      <c r="A131" t="s">
        <v>283</v>
      </c>
      <c r="B131" s="1">
        <v>46152</v>
      </c>
      <c r="C131" t="s">
        <v>26</v>
      </c>
      <c r="D131" t="s">
        <v>284</v>
      </c>
      <c r="E131" s="19" t="s">
        <v>28</v>
      </c>
      <c r="F131" s="18">
        <v>1</v>
      </c>
      <c r="G131" s="18">
        <v>1000</v>
      </c>
      <c r="H131" s="18">
        <f t="shared" si="12"/>
        <v>1000</v>
      </c>
      <c r="I131" s="18">
        <v>18</v>
      </c>
      <c r="J131" s="18">
        <f t="shared" si="13"/>
        <v>180</v>
      </c>
      <c r="K131" s="18">
        <f t="shared" si="14"/>
        <v>1180</v>
      </c>
      <c r="L131" s="18" t="s">
        <v>16</v>
      </c>
    </row>
    <row r="132" spans="1:12" x14ac:dyDescent="0.3">
      <c r="A132" t="s">
        <v>285</v>
      </c>
      <c r="B132" s="1">
        <v>46153</v>
      </c>
      <c r="C132" t="s">
        <v>30</v>
      </c>
      <c r="D132" t="s">
        <v>286</v>
      </c>
      <c r="E132" s="19" t="s">
        <v>32</v>
      </c>
      <c r="F132" s="18">
        <v>1</v>
      </c>
      <c r="G132" s="18">
        <v>1000</v>
      </c>
      <c r="H132" s="18">
        <f t="shared" si="12"/>
        <v>1000</v>
      </c>
      <c r="I132" s="18">
        <v>18</v>
      </c>
      <c r="J132" s="18">
        <f t="shared" si="13"/>
        <v>180</v>
      </c>
      <c r="K132" s="18">
        <f t="shared" si="14"/>
        <v>1180</v>
      </c>
      <c r="L132" s="18" t="s">
        <v>16</v>
      </c>
    </row>
    <row r="133" spans="1:12" x14ac:dyDescent="0.3">
      <c r="A133" t="s">
        <v>287</v>
      </c>
      <c r="B133" s="1">
        <v>46154</v>
      </c>
      <c r="C133" t="s">
        <v>34</v>
      </c>
      <c r="D133" t="s">
        <v>288</v>
      </c>
      <c r="E133" s="19" t="s">
        <v>36</v>
      </c>
      <c r="F133" s="18">
        <v>1</v>
      </c>
      <c r="G133" s="18">
        <v>1000</v>
      </c>
      <c r="H133" s="18">
        <f t="shared" si="12"/>
        <v>1000</v>
      </c>
      <c r="I133" s="18">
        <v>18</v>
      </c>
      <c r="J133" s="18">
        <f t="shared" si="13"/>
        <v>180</v>
      </c>
      <c r="K133" s="18">
        <f t="shared" si="14"/>
        <v>1180</v>
      </c>
      <c r="L133" s="18" t="s">
        <v>16</v>
      </c>
    </row>
    <row r="134" spans="1:12" x14ac:dyDescent="0.3">
      <c r="A134" t="s">
        <v>289</v>
      </c>
      <c r="B134" s="1">
        <v>46155</v>
      </c>
      <c r="C134" t="s">
        <v>13</v>
      </c>
      <c r="D134" t="s">
        <v>290</v>
      </c>
      <c r="E134" s="19" t="s">
        <v>15</v>
      </c>
      <c r="F134" s="18">
        <v>7</v>
      </c>
      <c r="G134" s="18">
        <v>1000</v>
      </c>
      <c r="H134" s="18">
        <f t="shared" si="12"/>
        <v>7000</v>
      </c>
      <c r="I134" s="18">
        <v>18</v>
      </c>
      <c r="J134" s="18">
        <f t="shared" si="13"/>
        <v>1260</v>
      </c>
      <c r="K134" s="18">
        <f t="shared" si="14"/>
        <v>8260</v>
      </c>
      <c r="L134" s="18" t="s">
        <v>16</v>
      </c>
    </row>
    <row r="135" spans="1:12" x14ac:dyDescent="0.3">
      <c r="A135" t="s">
        <v>291</v>
      </c>
      <c r="B135" s="1">
        <v>46156</v>
      </c>
      <c r="C135" t="s">
        <v>18</v>
      </c>
      <c r="D135" t="s">
        <v>292</v>
      </c>
      <c r="E135" s="19" t="s">
        <v>20</v>
      </c>
      <c r="F135" s="18">
        <v>13</v>
      </c>
      <c r="G135" s="18">
        <v>3000</v>
      </c>
      <c r="H135" s="18">
        <f t="shared" si="12"/>
        <v>39000</v>
      </c>
      <c r="I135" s="18">
        <v>18</v>
      </c>
      <c r="J135" s="18">
        <f t="shared" si="13"/>
        <v>7020</v>
      </c>
      <c r="K135" s="18">
        <f t="shared" si="14"/>
        <v>46020</v>
      </c>
      <c r="L135" s="18" t="s">
        <v>16</v>
      </c>
    </row>
    <row r="136" spans="1:12" x14ac:dyDescent="0.3">
      <c r="A136" t="s">
        <v>293</v>
      </c>
      <c r="B136" s="1">
        <v>46157</v>
      </c>
      <c r="C136" t="s">
        <v>22</v>
      </c>
      <c r="D136" t="s">
        <v>294</v>
      </c>
      <c r="E136" s="19" t="s">
        <v>24</v>
      </c>
      <c r="F136" s="18">
        <v>12</v>
      </c>
      <c r="G136" s="18">
        <v>4500</v>
      </c>
      <c r="H136" s="18">
        <f t="shared" si="12"/>
        <v>54000</v>
      </c>
      <c r="I136" s="18">
        <v>18</v>
      </c>
      <c r="J136" s="18">
        <f t="shared" si="13"/>
        <v>9720</v>
      </c>
      <c r="K136" s="18">
        <f t="shared" si="14"/>
        <v>63720</v>
      </c>
      <c r="L136" s="18" t="s">
        <v>16</v>
      </c>
    </row>
    <row r="137" spans="1:12" x14ac:dyDescent="0.3">
      <c r="A137" t="s">
        <v>295</v>
      </c>
      <c r="B137" s="1">
        <v>46158</v>
      </c>
      <c r="C137" t="s">
        <v>26</v>
      </c>
      <c r="D137" t="s">
        <v>296</v>
      </c>
      <c r="E137" s="19" t="s">
        <v>28</v>
      </c>
      <c r="F137" s="18">
        <v>13</v>
      </c>
      <c r="G137" s="18">
        <v>90000</v>
      </c>
      <c r="H137" s="18">
        <f t="shared" si="12"/>
        <v>1170000</v>
      </c>
      <c r="I137" s="18">
        <v>18</v>
      </c>
      <c r="J137" s="18">
        <f t="shared" si="13"/>
        <v>210600</v>
      </c>
      <c r="K137" s="18">
        <f t="shared" si="14"/>
        <v>1380600</v>
      </c>
      <c r="L137" s="18" t="s">
        <v>16</v>
      </c>
    </row>
    <row r="138" spans="1:12" x14ac:dyDescent="0.3">
      <c r="A138" t="s">
        <v>297</v>
      </c>
      <c r="B138" s="1">
        <v>46159</v>
      </c>
      <c r="C138" t="s">
        <v>30</v>
      </c>
      <c r="D138" t="s">
        <v>298</v>
      </c>
      <c r="E138" s="19" t="s">
        <v>32</v>
      </c>
      <c r="F138" s="18">
        <v>9</v>
      </c>
      <c r="G138" s="18">
        <v>3000</v>
      </c>
      <c r="H138" s="18">
        <f t="shared" si="12"/>
        <v>27000</v>
      </c>
      <c r="I138" s="18">
        <v>18</v>
      </c>
      <c r="J138" s="18">
        <f t="shared" si="13"/>
        <v>4860</v>
      </c>
      <c r="K138" s="18">
        <f t="shared" si="14"/>
        <v>31860</v>
      </c>
      <c r="L138" s="18" t="s">
        <v>16</v>
      </c>
    </row>
    <row r="139" spans="1:12" x14ac:dyDescent="0.3">
      <c r="A139" t="s">
        <v>299</v>
      </c>
      <c r="B139" s="1">
        <v>46160</v>
      </c>
      <c r="C139" t="s">
        <v>34</v>
      </c>
      <c r="D139" t="s">
        <v>300</v>
      </c>
      <c r="E139" s="19" t="s">
        <v>36</v>
      </c>
      <c r="F139" s="18">
        <v>5</v>
      </c>
      <c r="G139" s="18">
        <v>2000</v>
      </c>
      <c r="H139" s="18">
        <f t="shared" si="12"/>
        <v>10000</v>
      </c>
      <c r="I139" s="18">
        <v>18</v>
      </c>
      <c r="J139" s="18">
        <f t="shared" si="13"/>
        <v>1800</v>
      </c>
      <c r="K139" s="18">
        <f t="shared" si="14"/>
        <v>11800</v>
      </c>
      <c r="L139" s="18" t="s">
        <v>16</v>
      </c>
    </row>
    <row r="140" spans="1:12" x14ac:dyDescent="0.3">
      <c r="A140" t="s">
        <v>301</v>
      </c>
      <c r="B140" s="1">
        <v>46161</v>
      </c>
      <c r="C140" t="s">
        <v>13</v>
      </c>
      <c r="D140" t="s">
        <v>302</v>
      </c>
      <c r="E140" s="19" t="s">
        <v>15</v>
      </c>
      <c r="F140" s="18">
        <v>5</v>
      </c>
      <c r="G140" s="18">
        <v>4000</v>
      </c>
      <c r="H140" s="18">
        <f t="shared" si="12"/>
        <v>20000</v>
      </c>
      <c r="I140" s="18">
        <v>18</v>
      </c>
      <c r="J140" s="18">
        <f t="shared" si="13"/>
        <v>3600</v>
      </c>
      <c r="K140" s="18">
        <f t="shared" si="14"/>
        <v>23600</v>
      </c>
      <c r="L140" s="18" t="s">
        <v>16</v>
      </c>
    </row>
    <row r="141" spans="1:12" x14ac:dyDescent="0.3">
      <c r="A141" t="s">
        <v>303</v>
      </c>
      <c r="B141" s="1">
        <v>46162</v>
      </c>
      <c r="C141" t="s">
        <v>18</v>
      </c>
      <c r="D141" t="s">
        <v>304</v>
      </c>
      <c r="E141" s="19" t="s">
        <v>20</v>
      </c>
      <c r="F141" s="18">
        <v>12</v>
      </c>
      <c r="G141" s="18">
        <v>1800</v>
      </c>
      <c r="H141" s="18">
        <f t="shared" si="12"/>
        <v>21600</v>
      </c>
      <c r="I141" s="18">
        <v>18</v>
      </c>
      <c r="J141" s="18">
        <f t="shared" si="13"/>
        <v>3888</v>
      </c>
      <c r="K141" s="18">
        <f t="shared" si="14"/>
        <v>25488</v>
      </c>
      <c r="L141" s="18" t="s">
        <v>16</v>
      </c>
    </row>
    <row r="142" spans="1:12" x14ac:dyDescent="0.3">
      <c r="A142" t="s">
        <v>305</v>
      </c>
      <c r="B142" s="1">
        <v>46163</v>
      </c>
      <c r="C142" t="s">
        <v>22</v>
      </c>
      <c r="D142" t="s">
        <v>306</v>
      </c>
      <c r="E142" s="19" t="s">
        <v>24</v>
      </c>
      <c r="F142" s="18">
        <v>7</v>
      </c>
      <c r="G142" s="18">
        <v>80000</v>
      </c>
      <c r="H142" s="18">
        <f t="shared" si="12"/>
        <v>560000</v>
      </c>
      <c r="I142" s="18">
        <v>18</v>
      </c>
      <c r="J142" s="18">
        <f t="shared" si="13"/>
        <v>100800</v>
      </c>
      <c r="K142" s="18">
        <f t="shared" si="14"/>
        <v>660800</v>
      </c>
      <c r="L142" s="18" t="s">
        <v>16</v>
      </c>
    </row>
    <row r="143" spans="1:12" x14ac:dyDescent="0.3">
      <c r="A143" t="s">
        <v>307</v>
      </c>
      <c r="B143" s="1">
        <v>46164</v>
      </c>
      <c r="C143" t="s">
        <v>26</v>
      </c>
      <c r="D143" t="s">
        <v>308</v>
      </c>
      <c r="E143" s="19" t="s">
        <v>28</v>
      </c>
      <c r="F143" s="18">
        <v>1</v>
      </c>
      <c r="G143" s="18">
        <v>1000</v>
      </c>
      <c r="H143" s="18">
        <f t="shared" si="12"/>
        <v>1000</v>
      </c>
      <c r="I143" s="18">
        <v>18</v>
      </c>
      <c r="J143" s="18">
        <f t="shared" si="13"/>
        <v>180</v>
      </c>
      <c r="K143" s="18">
        <f t="shared" si="14"/>
        <v>1180</v>
      </c>
      <c r="L143" s="18" t="s">
        <v>16</v>
      </c>
    </row>
    <row r="144" spans="1:12" x14ac:dyDescent="0.3">
      <c r="A144" t="s">
        <v>309</v>
      </c>
      <c r="B144" s="1">
        <v>46165</v>
      </c>
      <c r="C144" t="s">
        <v>30</v>
      </c>
      <c r="D144" t="s">
        <v>310</v>
      </c>
      <c r="E144" s="19" t="s">
        <v>32</v>
      </c>
      <c r="F144" s="18">
        <v>2</v>
      </c>
      <c r="G144" s="18">
        <v>2500</v>
      </c>
      <c r="H144" s="18">
        <f t="shared" si="12"/>
        <v>5000</v>
      </c>
      <c r="I144" s="18">
        <v>18</v>
      </c>
      <c r="J144" s="18">
        <f t="shared" si="13"/>
        <v>900</v>
      </c>
      <c r="K144" s="18">
        <f t="shared" si="14"/>
        <v>5900</v>
      </c>
      <c r="L144" s="18" t="s">
        <v>16</v>
      </c>
    </row>
    <row r="145" spans="1:12" x14ac:dyDescent="0.3">
      <c r="A145" t="s">
        <v>311</v>
      </c>
      <c r="B145" s="1">
        <v>46166</v>
      </c>
      <c r="C145" t="s">
        <v>34</v>
      </c>
      <c r="D145" t="s">
        <v>312</v>
      </c>
      <c r="E145" s="19" t="s">
        <v>36</v>
      </c>
      <c r="F145" s="18">
        <v>3</v>
      </c>
      <c r="G145" s="18">
        <v>2000</v>
      </c>
      <c r="H145" s="18">
        <f t="shared" si="12"/>
        <v>6000</v>
      </c>
      <c r="I145" s="18">
        <v>18</v>
      </c>
      <c r="J145" s="18">
        <f t="shared" si="13"/>
        <v>1080</v>
      </c>
      <c r="K145" s="18">
        <f t="shared" si="14"/>
        <v>7080</v>
      </c>
      <c r="L145" s="18" t="s">
        <v>16</v>
      </c>
    </row>
    <row r="146" spans="1:12" x14ac:dyDescent="0.3">
      <c r="A146" t="s">
        <v>313</v>
      </c>
      <c r="B146" s="1">
        <v>46167</v>
      </c>
      <c r="C146" t="s">
        <v>13</v>
      </c>
      <c r="D146" t="s">
        <v>314</v>
      </c>
      <c r="E146" s="19" t="s">
        <v>15</v>
      </c>
      <c r="F146" s="18">
        <v>3</v>
      </c>
      <c r="G146" s="18">
        <v>7000</v>
      </c>
      <c r="H146" s="18">
        <f t="shared" si="12"/>
        <v>21000</v>
      </c>
      <c r="I146" s="18">
        <v>18</v>
      </c>
      <c r="J146" s="18">
        <f t="shared" si="13"/>
        <v>3780</v>
      </c>
      <c r="K146" s="18">
        <f t="shared" si="14"/>
        <v>24780</v>
      </c>
      <c r="L146" s="18" t="s">
        <v>16</v>
      </c>
    </row>
    <row r="147" spans="1:12" x14ac:dyDescent="0.3">
      <c r="A147" t="s">
        <v>315</v>
      </c>
      <c r="B147" s="1">
        <v>46168</v>
      </c>
      <c r="C147" t="s">
        <v>18</v>
      </c>
      <c r="D147" t="s">
        <v>316</v>
      </c>
      <c r="E147" s="19" t="s">
        <v>20</v>
      </c>
      <c r="F147" s="18">
        <v>1</v>
      </c>
      <c r="G147" s="18">
        <v>3000</v>
      </c>
      <c r="H147" s="18">
        <f t="shared" si="12"/>
        <v>3000</v>
      </c>
      <c r="I147" s="18">
        <v>18</v>
      </c>
      <c r="J147" s="18">
        <f t="shared" si="13"/>
        <v>540</v>
      </c>
      <c r="K147" s="18">
        <f t="shared" si="14"/>
        <v>3540</v>
      </c>
      <c r="L147" s="18" t="s">
        <v>16</v>
      </c>
    </row>
    <row r="148" spans="1:12" x14ac:dyDescent="0.3">
      <c r="A148" t="s">
        <v>317</v>
      </c>
      <c r="B148" s="1">
        <v>46169</v>
      </c>
      <c r="C148" t="s">
        <v>22</v>
      </c>
      <c r="D148" t="s">
        <v>318</v>
      </c>
      <c r="E148" s="19" t="s">
        <v>24</v>
      </c>
      <c r="F148" s="18">
        <v>1</v>
      </c>
      <c r="G148" s="18">
        <v>2000</v>
      </c>
      <c r="H148" s="18">
        <f t="shared" si="12"/>
        <v>2000</v>
      </c>
      <c r="I148" s="18">
        <v>18</v>
      </c>
      <c r="J148" s="18">
        <f t="shared" si="13"/>
        <v>360</v>
      </c>
      <c r="K148" s="18">
        <f t="shared" si="14"/>
        <v>2360</v>
      </c>
      <c r="L148" s="18" t="s">
        <v>16</v>
      </c>
    </row>
    <row r="149" spans="1:12" x14ac:dyDescent="0.3">
      <c r="A149" t="s">
        <v>319</v>
      </c>
      <c r="B149" s="1">
        <v>46170</v>
      </c>
      <c r="C149" t="s">
        <v>26</v>
      </c>
      <c r="D149" t="s">
        <v>320</v>
      </c>
      <c r="E149" s="19" t="s">
        <v>28</v>
      </c>
      <c r="F149" s="18">
        <v>4</v>
      </c>
      <c r="G149" s="18">
        <v>4000</v>
      </c>
      <c r="H149" s="18">
        <f t="shared" si="12"/>
        <v>16000</v>
      </c>
      <c r="I149" s="18">
        <v>18</v>
      </c>
      <c r="J149" s="18">
        <f t="shared" si="13"/>
        <v>2880</v>
      </c>
      <c r="K149" s="18">
        <f t="shared" si="14"/>
        <v>18880</v>
      </c>
      <c r="L149" s="18" t="s">
        <v>16</v>
      </c>
    </row>
    <row r="150" spans="1:12" x14ac:dyDescent="0.3">
      <c r="A150" t="s">
        <v>321</v>
      </c>
      <c r="B150" s="1">
        <v>46171</v>
      </c>
      <c r="C150" t="s">
        <v>30</v>
      </c>
      <c r="D150" t="s">
        <v>322</v>
      </c>
      <c r="E150" s="19" t="s">
        <v>32</v>
      </c>
      <c r="F150" s="18">
        <v>1</v>
      </c>
      <c r="G150" s="18">
        <v>3000</v>
      </c>
      <c r="H150" s="18">
        <f t="shared" si="12"/>
        <v>3000</v>
      </c>
      <c r="I150" s="18">
        <v>18</v>
      </c>
      <c r="J150" s="18">
        <f t="shared" si="13"/>
        <v>540</v>
      </c>
      <c r="K150" s="18">
        <f t="shared" si="14"/>
        <v>3540</v>
      </c>
      <c r="L150" s="18" t="s">
        <v>16</v>
      </c>
    </row>
    <row r="151" spans="1:12" x14ac:dyDescent="0.3">
      <c r="A151" t="s">
        <v>323</v>
      </c>
      <c r="B151" s="1">
        <v>46172</v>
      </c>
      <c r="C151" t="s">
        <v>34</v>
      </c>
      <c r="D151" t="s">
        <v>324</v>
      </c>
      <c r="E151" s="19" t="s">
        <v>36</v>
      </c>
      <c r="F151" s="18">
        <v>2</v>
      </c>
      <c r="G151" s="18">
        <v>5000</v>
      </c>
      <c r="H151" s="18">
        <f t="shared" si="12"/>
        <v>10000</v>
      </c>
      <c r="I151" s="18">
        <v>18</v>
      </c>
      <c r="J151" s="18">
        <f t="shared" si="13"/>
        <v>1800</v>
      </c>
      <c r="K151" s="18">
        <f t="shared" si="14"/>
        <v>11800</v>
      </c>
      <c r="L151" s="18" t="s">
        <v>16</v>
      </c>
    </row>
  </sheetData>
  <conditionalFormatting sqref="E2">
    <cfRule type="dataBar" priority="9">
      <dataBar>
        <cfvo type="min"/>
        <cfvo type="max"/>
        <color rgb="FF638EC6"/>
      </dataBar>
      <extLst>
        <ext xmlns:x14="http://schemas.microsoft.com/office/spreadsheetml/2009/9/main" uri="{B025F937-C7B1-47D3-B67F-A62EFF666E3E}">
          <x14:id>{9B047104-95A7-4336-8E75-0D0DBAB58487}</x14:id>
        </ext>
      </extLst>
    </cfRule>
    <cfRule type="cellIs" dxfId="9" priority="11" operator="greaterThan">
      <formula>18000</formula>
    </cfRule>
    <cfRule type="iconSet" priority="12">
      <iconSet iconSet="3Signs">
        <cfvo type="percent" val="0"/>
        <cfvo type="percent" val="33"/>
        <cfvo type="percent" val="67"/>
      </iconSet>
    </cfRule>
  </conditionalFormatting>
  <conditionalFormatting sqref="K2:K116">
    <cfRule type="cellIs" dxfId="8" priority="8" operator="lessThan">
      <formula>70000</formula>
    </cfRule>
  </conditionalFormatting>
  <conditionalFormatting sqref="K2:K151">
    <cfRule type="cellIs" dxfId="7" priority="10" operator="greaterThan">
      <formula>2726006.5</formula>
    </cfRule>
  </conditionalFormatting>
  <conditionalFormatting sqref="K47:K151">
    <cfRule type="cellIs" dxfId="6" priority="6" operator="greaterThan">
      <formula>200000</formula>
    </cfRule>
  </conditionalFormatting>
  <conditionalFormatting sqref="L100">
    <cfRule type="cellIs" dxfId="5" priority="7" operator="greaterThan">
      <formula>15000</formula>
    </cfRule>
  </conditionalFormatting>
  <conditionalFormatting sqref="S8">
    <cfRule type="colorScale" priority="13">
      <colorScale>
        <cfvo type="min"/>
        <cfvo type="percentile" val="50"/>
        <cfvo type="max"/>
        <color rgb="FFF8696B"/>
        <color rgb="FFFFEB84"/>
        <color rgb="FF63BE7B"/>
      </colorScale>
    </cfRule>
    <cfRule type="cellIs" dxfId="4" priority="14" operator="greaterThan">
      <formula>190000</formula>
    </cfRule>
  </conditionalFormatting>
  <conditionalFormatting sqref="G2:H151">
    <cfRule type="cellIs" dxfId="3" priority="5" operator="greaterThan">
      <formula>23100</formula>
    </cfRule>
    <cfRule type="cellIs" dxfId="2" priority="4" operator="lessThan">
      <formula>35000</formula>
    </cfRule>
  </conditionalFormatting>
  <conditionalFormatting sqref="L31:L151">
    <cfRule type="containsText" dxfId="1" priority="3" operator="containsText" text="Paid">
      <formula>NOT(ISERROR(SEARCH("Paid",L31)))</formula>
    </cfRule>
  </conditionalFormatting>
  <conditionalFormatting sqref="L2:L30">
    <cfRule type="containsText" dxfId="0" priority="2" operator="containsText" text="Paid">
      <formula>NOT(ISERROR(SEARCH("Paid",L2)))</formula>
    </cfRule>
  </conditionalFormatting>
  <conditionalFormatting sqref="I3:I151">
    <cfRule type="colorScale" priority="1">
      <colorScale>
        <cfvo type="min"/>
        <cfvo type="max"/>
        <color rgb="FF63BE7B"/>
        <color rgb="FFFCFCFF"/>
      </colorScale>
    </cfRule>
  </conditionalFormatting>
  <dataValidations count="1">
    <dataValidation type="list" allowBlank="1" showInputMessage="1" showErrorMessage="1" sqref="G2:H151" xr:uid="{E17DF5C9-676E-4828-B003-5E13FE869BA6}">
      <formula1>$E$2:$E$151</formula1>
    </dataValidation>
  </dataValidations>
  <pageMargins left="0.75" right="0.75" top="1" bottom="1" header="0.5" footer="0.5"/>
  <extLst>
    <ext xmlns:x14="http://schemas.microsoft.com/office/spreadsheetml/2009/9/main" uri="{78C0D931-6437-407d-A8EE-F0AAD7539E65}">
      <x14:conditionalFormattings>
        <x14:conditionalFormatting xmlns:xm="http://schemas.microsoft.com/office/excel/2006/main">
          <x14:cfRule type="dataBar" id="{9B047104-95A7-4336-8E75-0D0DBAB58487}">
            <x14:dataBar minLength="0" maxLength="100" border="1" negativeBarBorderColorSameAsPositive="0">
              <x14:cfvo type="autoMin"/>
              <x14:cfvo type="autoMax"/>
              <x14:borderColor rgb="FF638EC6"/>
              <x14:negativeFillColor rgb="FFFF0000"/>
              <x14:negativeBorderColor rgb="FFFF0000"/>
              <x14:axisColor rgb="FF000000"/>
            </x14:dataBar>
          </x14:cfRule>
          <xm:sqref>E2</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05198-4E88-4C13-ABF7-5801F6462CF1}">
  <dimension ref="A1:C7"/>
  <sheetViews>
    <sheetView workbookViewId="0">
      <selection activeCell="A2" sqref="A2:A7"/>
    </sheetView>
  </sheetViews>
  <sheetFormatPr defaultRowHeight="14.4" x14ac:dyDescent="0.3"/>
  <cols>
    <col min="1" max="1" width="12.88671875" customWidth="1"/>
    <col min="2" max="2" width="16.21875" customWidth="1"/>
    <col min="3" max="3" width="15.44140625" customWidth="1"/>
  </cols>
  <sheetData>
    <row r="1" spans="1:3" x14ac:dyDescent="0.3">
      <c r="A1" s="2" t="s">
        <v>335</v>
      </c>
      <c r="B1" s="2" t="s">
        <v>336</v>
      </c>
      <c r="C1" s="2" t="s">
        <v>337</v>
      </c>
    </row>
    <row r="2" spans="1:3" x14ac:dyDescent="0.3">
      <c r="A2" s="18" t="s">
        <v>338</v>
      </c>
      <c r="B2" s="18" t="s">
        <v>344</v>
      </c>
      <c r="C2">
        <v>9876510001</v>
      </c>
    </row>
    <row r="3" spans="1:3" x14ac:dyDescent="0.3">
      <c r="A3" s="18" t="s">
        <v>339</v>
      </c>
      <c r="B3" s="18" t="s">
        <v>345</v>
      </c>
      <c r="C3">
        <v>9876510002</v>
      </c>
    </row>
    <row r="4" spans="1:3" x14ac:dyDescent="0.3">
      <c r="A4" s="18" t="s">
        <v>340</v>
      </c>
      <c r="B4" s="18" t="s">
        <v>346</v>
      </c>
      <c r="C4">
        <v>9876510003</v>
      </c>
    </row>
    <row r="5" spans="1:3" x14ac:dyDescent="0.3">
      <c r="A5" s="18" t="s">
        <v>341</v>
      </c>
      <c r="B5" s="18" t="s">
        <v>347</v>
      </c>
      <c r="C5">
        <v>9876510004</v>
      </c>
    </row>
    <row r="6" spans="1:3" x14ac:dyDescent="0.3">
      <c r="A6" s="18" t="s">
        <v>342</v>
      </c>
      <c r="B6" s="18" t="s">
        <v>348</v>
      </c>
      <c r="C6">
        <v>9876510005</v>
      </c>
    </row>
    <row r="7" spans="1:3" x14ac:dyDescent="0.3">
      <c r="A7" s="18" t="s">
        <v>343</v>
      </c>
      <c r="B7" s="18" t="s">
        <v>349</v>
      </c>
      <c r="C7">
        <v>9876510006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24CE9B-CCB9-4802-896E-496F9E36B912}">
  <dimension ref="A1:B7"/>
  <sheetViews>
    <sheetView workbookViewId="0">
      <selection activeCell="D6" sqref="D6"/>
    </sheetView>
  </sheetViews>
  <sheetFormatPr defaultRowHeight="14.4" x14ac:dyDescent="0.3"/>
  <cols>
    <col min="1" max="2" width="14.5546875" customWidth="1"/>
  </cols>
  <sheetData>
    <row r="1" spans="1:2" x14ac:dyDescent="0.3">
      <c r="A1" s="2" t="s">
        <v>350</v>
      </c>
      <c r="B1" s="2" t="s">
        <v>351</v>
      </c>
    </row>
    <row r="2" spans="1:2" x14ac:dyDescent="0.3">
      <c r="A2" s="22" t="s">
        <v>352</v>
      </c>
      <c r="B2" s="18">
        <f>SUM('Invoice Billing'!K2:K151)</f>
        <v>18355909.800000001</v>
      </c>
    </row>
    <row r="3" spans="1:2" x14ac:dyDescent="0.3">
      <c r="A3" s="22" t="s">
        <v>353</v>
      </c>
      <c r="B3" s="18">
        <f>AVERAGE('Invoice Billing'!K2:K151)</f>
        <v>122372.732</v>
      </c>
    </row>
    <row r="4" spans="1:2" x14ac:dyDescent="0.3">
      <c r="A4" s="22" t="s">
        <v>354</v>
      </c>
      <c r="B4" s="18">
        <f>MAX('Invoice Billing'!K2:K151)</f>
        <v>5451600</v>
      </c>
    </row>
    <row r="5" spans="1:2" x14ac:dyDescent="0.3">
      <c r="A5" s="22" t="s">
        <v>355</v>
      </c>
      <c r="B5" s="18">
        <f>MIN('Invoice Billing'!K2:K151)</f>
        <v>413</v>
      </c>
    </row>
    <row r="6" spans="1:2" x14ac:dyDescent="0.3">
      <c r="A6" s="22" t="s">
        <v>356</v>
      </c>
      <c r="B6" s="18">
        <f>COUNT('Invoice Billing'!K2:K151)</f>
        <v>150</v>
      </c>
    </row>
    <row r="7" spans="1:2" x14ac:dyDescent="0.3">
      <c r="A7" s="22" t="s">
        <v>357</v>
      </c>
      <c r="B7" s="18">
        <f>SUM('Invoice Billing'!F2:F151)</f>
        <v>698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EF62D-F56F-4AA8-8A8C-33074FEFA0B2}">
  <dimension ref="A1:D7"/>
  <sheetViews>
    <sheetView workbookViewId="0">
      <selection activeCell="C9" sqref="C9"/>
    </sheetView>
  </sheetViews>
  <sheetFormatPr defaultRowHeight="14.4" x14ac:dyDescent="0.3"/>
  <cols>
    <col min="1" max="1" width="11.21875" customWidth="1"/>
    <col min="2" max="2" width="14.77734375" customWidth="1"/>
    <col min="3" max="3" width="11.88671875" customWidth="1"/>
  </cols>
  <sheetData>
    <row r="1" spans="1:4" x14ac:dyDescent="0.3">
      <c r="A1" s="2" t="s">
        <v>327</v>
      </c>
      <c r="B1" s="2" t="s">
        <v>326</v>
      </c>
      <c r="C1" s="2" t="s">
        <v>325</v>
      </c>
      <c r="D1" s="2" t="s">
        <v>328</v>
      </c>
    </row>
    <row r="2" spans="1:4" x14ac:dyDescent="0.3">
      <c r="A2">
        <v>1</v>
      </c>
      <c r="B2" t="s">
        <v>329</v>
      </c>
      <c r="C2">
        <v>60000</v>
      </c>
      <c r="D2">
        <v>18</v>
      </c>
    </row>
    <row r="3" spans="1:4" x14ac:dyDescent="0.3">
      <c r="A3">
        <v>2</v>
      </c>
      <c r="B3" t="s">
        <v>330</v>
      </c>
      <c r="C3">
        <v>800</v>
      </c>
      <c r="D3">
        <v>18</v>
      </c>
    </row>
    <row r="4" spans="1:4" x14ac:dyDescent="0.3">
      <c r="A4">
        <v>3</v>
      </c>
      <c r="B4" t="s">
        <v>331</v>
      </c>
      <c r="C4">
        <v>1200</v>
      </c>
      <c r="D4">
        <v>18</v>
      </c>
    </row>
    <row r="5" spans="1:4" x14ac:dyDescent="0.3">
      <c r="A5">
        <v>4</v>
      </c>
      <c r="B5" t="s">
        <v>332</v>
      </c>
      <c r="C5">
        <v>5000</v>
      </c>
      <c r="D5">
        <v>18</v>
      </c>
    </row>
    <row r="6" spans="1:4" x14ac:dyDescent="0.3">
      <c r="A6">
        <v>5</v>
      </c>
      <c r="B6" t="s">
        <v>333</v>
      </c>
      <c r="C6">
        <v>10000</v>
      </c>
      <c r="D6">
        <v>18</v>
      </c>
    </row>
    <row r="7" spans="1:4" x14ac:dyDescent="0.3">
      <c r="A7">
        <v>6</v>
      </c>
      <c r="B7" t="s">
        <v>334</v>
      </c>
      <c r="C7">
        <v>8000</v>
      </c>
      <c r="D7">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formula</vt:lpstr>
      <vt:lpstr>CONCLUSION</vt:lpstr>
      <vt:lpstr>pivot table</vt:lpstr>
      <vt:lpstr>dashboard</vt:lpstr>
      <vt:lpstr>Invoice Billing</vt:lpstr>
      <vt:lpstr>CUSTOMER MASTER</vt:lpstr>
      <vt:lpstr>SALES SUMMARY</vt:lpstr>
      <vt:lpstr>product master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Administrator</cp:lastModifiedBy>
  <dcterms:created xsi:type="dcterms:W3CDTF">2026-06-25T08:22:51Z</dcterms:created>
  <dcterms:modified xsi:type="dcterms:W3CDTF">2026-06-25T23:43:51Z</dcterms:modified>
</cp:coreProperties>
</file>